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720"/>
  </bookViews>
  <sheets>
    <sheet sheetId="28" name="Existencia Sistema" state="visible" r:id="rId4"/>
  </sheets>
  <definedNames>
    <definedName name="_xlnm.Print_Area" localSheetId="0">'Existencia Sistema'!$A1:$J46</definedName>
  </definedNames>
  <calcPr calcId="171027"/>
</workbook>
</file>

<file path=xl/sharedStrings.xml><?xml version="1.0" encoding="utf-8"?>
<sst xmlns="http://schemas.openxmlformats.org/spreadsheetml/2006/main" count="131" uniqueCount="94">
  <si>
    <t>MULTINACIONAL DE SABORES C.A.</t>
  </si>
  <si>
    <t>PRODUCIR</t>
  </si>
  <si>
    <t>EXISTENCIA  FISICA MULTINACIONAL</t>
  </si>
  <si>
    <t>NO PRODUCIR</t>
  </si>
  <si>
    <t>Almacenes consolidados: NoAlmacén: Principal</t>
  </si>
  <si>
    <t>POR DECISION</t>
  </si>
  <si>
    <t>Artículo</t>
  </si>
  <si>
    <t>Denominación</t>
  </si>
  <si>
    <t>Cajas / Paleta</t>
  </si>
  <si>
    <t>Stock</t>
  </si>
  <si>
    <t>UND</t>
  </si>
  <si>
    <t>PALETAS</t>
  </si>
  <si>
    <t>CONSUMO PROM PALETAS X DIA</t>
  </si>
  <si>
    <t>DIAS INVENTARIO PARA CONSUMO</t>
  </si>
  <si>
    <t>PRODT-0007</t>
  </si>
  <si>
    <t xml:space="preserve">GLUP! COLA NEGRA 6X2000ML </t>
  </si>
  <si>
    <t xml:space="preserve">CJ </t>
  </si>
  <si>
    <t>PRODT-0008</t>
  </si>
  <si>
    <t xml:space="preserve">GLUP! UVA 6X2000ML </t>
  </si>
  <si>
    <t>PRODT-0009</t>
  </si>
  <si>
    <t xml:space="preserve">GLUP! KOLITA 6X2000ML </t>
  </si>
  <si>
    <t>PRODT-0010</t>
  </si>
  <si>
    <t xml:space="preserve">GLUP! PIÑA 6X2000ML </t>
  </si>
  <si>
    <t>PRODT-0011</t>
  </si>
  <si>
    <t xml:space="preserve">GLUP! NARANJA 6X2000ML </t>
  </si>
  <si>
    <t>PRODT-0012</t>
  </si>
  <si>
    <t xml:space="preserve">GLUP! FRESH 6X2000ML </t>
  </si>
  <si>
    <t>PRODT-0049</t>
  </si>
  <si>
    <t>GLUP! MANZANA VERDE CAJA X 6BOT X 2LTS</t>
  </si>
  <si>
    <t>PRODT-0097</t>
  </si>
  <si>
    <t>GLUP! MANZANA ROJA CAJA X 6BOT X 2.0LTS</t>
  </si>
  <si>
    <t>CJ</t>
  </si>
  <si>
    <t>PRODT-0098</t>
  </si>
  <si>
    <t>GLUP! PIÑA PARCHITA CAJA X 6BOT X 2.0LTS</t>
  </si>
  <si>
    <t>PRODT-0082</t>
  </si>
  <si>
    <t>GLUP! COLA NEGRA CAJA X 12BOT X 1LTS</t>
  </si>
  <si>
    <t>PRODT-0084</t>
  </si>
  <si>
    <t>GLUP! UVA  CAJA X 12BOT X 1.0LTS</t>
  </si>
  <si>
    <t>PRODT-0086</t>
  </si>
  <si>
    <t>GLUP! FRESH CAJA X 12BOT X 1.0LTS</t>
  </si>
  <si>
    <t>PRODT-0088</t>
  </si>
  <si>
    <t>GLUP! KOLITA  CAJA X 12BOT X 1.0LTS</t>
  </si>
  <si>
    <t>PRODT-0104</t>
  </si>
  <si>
    <t>GLUP! PIÑA CAJA X 12BOT X 1.0LTS</t>
  </si>
  <si>
    <t>PRODT-0105</t>
  </si>
  <si>
    <t>GLUP! NARANJA CAJA X 12BOT X 1.0LTS</t>
  </si>
  <si>
    <t>PRODT-0107</t>
  </si>
  <si>
    <t>GLUP! MANZANA ROJA CAJA X 12BOT X 1.0LTS</t>
  </si>
  <si>
    <t>PRODT-0092</t>
  </si>
  <si>
    <t>GLUP! COLA NEGRA CAJA X 15 BOT X 0.400LTS</t>
  </si>
  <si>
    <t>PRODT-0093</t>
  </si>
  <si>
    <t>GLUP! UVA  CAJA X 15BOT X 0.400LTS</t>
  </si>
  <si>
    <t>PRODT-0094</t>
  </si>
  <si>
    <t>GLUP! KOLITA  CAJA X 15BOT X 0.400LTS</t>
  </si>
  <si>
    <t>PRODT-0095</t>
  </si>
  <si>
    <t>GLUP! FRESH CAJA X 15BOT X 0.400LTS</t>
  </si>
  <si>
    <t>PRODT-0111</t>
  </si>
  <si>
    <t>GLUP! MANZANA ROJA CAJA X 15BOT X 0.400LTS</t>
  </si>
  <si>
    <t>PRODT-0014</t>
  </si>
  <si>
    <t xml:space="preserve">JUSTY NARANJA 1,5 LTRS                            </t>
  </si>
  <si>
    <t>PRODT-0100</t>
  </si>
  <si>
    <t>JUSTY DURAZNO CAJA X 12BOT X 1.5LTS</t>
  </si>
  <si>
    <t>PRODT-0115</t>
  </si>
  <si>
    <t>JUSTY PERA CAJA X 12BOT X 1.5LTS</t>
  </si>
  <si>
    <t>PRODT-0116</t>
  </si>
  <si>
    <t>JUSTY MANZANA CAJA X 12BOT X 1.5LTS</t>
  </si>
  <si>
    <t>PRODT-0123</t>
  </si>
  <si>
    <t>JUSTY NARANJA CAJA X 15BOT X 0.400LTS</t>
  </si>
  <si>
    <t>PRODT-0124</t>
  </si>
  <si>
    <t>JUSTY DURAZNO CAJA X 15BOT X 0.400LTS</t>
  </si>
  <si>
    <t>PRODT-0125</t>
  </si>
  <si>
    <t>JUSTY MANZANA CAJA X 15BOT X 0.400LTS</t>
  </si>
  <si>
    <t>PRODT-0126</t>
  </si>
  <si>
    <t>JUSTY PERA CAJA X 15BOT X 0.400LTS</t>
  </si>
  <si>
    <t>PRODT-0025</t>
  </si>
  <si>
    <t>VITA TEA LIMON 1,5 LT</t>
  </si>
  <si>
    <t>PRODT-0026</t>
  </si>
  <si>
    <t>VITA TEA DURAZNO 1,5 LT</t>
  </si>
  <si>
    <t>PRODT-0127</t>
  </si>
  <si>
    <t>VITA TEA DURAZNO CAJA X15 BOT X 0,400 LTS</t>
  </si>
  <si>
    <t>PRODT-0128</t>
  </si>
  <si>
    <t>VITA TEA LIMON CAJ X 15BOT X 0,400 LTS</t>
  </si>
  <si>
    <t>PRODT-0113</t>
  </si>
  <si>
    <t>AGUA BONAO  CAJA X 20BOT X 0.600LTS</t>
  </si>
  <si>
    <t>PRODT-0112</t>
  </si>
  <si>
    <t>AGUA BONAO  CAJA X 12BOT X 1,5LTS</t>
  </si>
  <si>
    <t>PRODT-0114</t>
  </si>
  <si>
    <t>AGUA BONAO CAJA X 20BOT X 0.355LTS</t>
  </si>
  <si>
    <t>PRODT-0120</t>
  </si>
  <si>
    <t>POWER X SABOR ORIGINAL CAJA X 15BOT X 0.400LTS</t>
  </si>
  <si>
    <t>PRODT-0121</t>
  </si>
  <si>
    <t>POWER X SABOR CAFE CAJA X 15BOT X 0.400LTS</t>
  </si>
  <si>
    <t>PRODT-0122</t>
  </si>
  <si>
    <t>POWER X SABOR NARANJA CAJA X 15BOT X 0.400LTS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</si>
</sst>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6" x14ac:knownFonts="1">
    <font>
      <color theme="1"/>
      <family val="2"/>
      <scheme val="minor"/>
      <sz val="11"/>
      <name val="Calibri"/>
    </font>
    <font>
      <b/>
      <color rgb="FF006600"/>
      <family val="2"/>
      <scheme val="minor"/>
      <sz val="12"/>
      <name val="Calibri"/>
    </font>
    <font>
      <b/>
      <color theme="1"/>
      <family val="2"/>
      <scheme val="minor"/>
      <sz val="14"/>
      <name val="Calibri"/>
    </font>
    <font>
      <b/>
      <color rgb="FFC00000"/>
      <family val="2"/>
      <scheme val="minor"/>
      <sz val="12"/>
      <name val="Calibri"/>
    </font>
    <font>
      <b/>
      <color theme="1"/>
      <family val="2"/>
      <scheme val="minor"/>
      <sz val="11"/>
      <name val="Calibri"/>
    </font>
    <font>
      <b/>
      <color theme="1"/>
      <family val="2"/>
      <scheme val="minor"/>
      <sz val="12"/>
      <name val="Calibri"/>
    </font>
    <font>
      <color theme="1"/>
      <family val="2"/>
      <scheme val="minor"/>
      <sz val="14"/>
      <name val="Calibri"/>
    </font>
    <font>
      <b/>
      <color theme="1"/>
      <family val="2"/>
      <scheme val="minor"/>
      <sz val="18"/>
      <name val="Calibri"/>
    </font>
    <font>
      <b/>
      <family val="2"/>
      <scheme val="minor"/>
      <sz val="18"/>
      <name val="Calibri"/>
    </font>
    <font>
      <family val="2"/>
      <scheme val="minor"/>
      <sz val="11"/>
      <name val="Calibri"/>
    </font>
    <font>
      <b/>
      <color theme="3" tint="0.3999755851924192"/>
      <family val="2"/>
      <scheme val="minor"/>
      <sz val="14"/>
      <name val="Calibri"/>
    </font>
    <font>
      <b/>
      <color theme="3" tint="0.3999755851924192"/>
      <family val="2"/>
      <scheme val="minor"/>
      <sz val="11"/>
      <name val="Calibri"/>
    </font>
    <font>
      <b/>
      <color theme="3" tint="0.3999755851924192"/>
      <family val="2"/>
      <scheme val="minor"/>
      <sz val="18"/>
      <name val="Calibri"/>
    </font>
    <font>
      <b/>
      <family val="2"/>
      <scheme val="minor"/>
      <sz val="14"/>
      <name val="Calibri"/>
    </font>
    <font>
      <b/>
      <family val="2"/>
      <scheme val="minor"/>
      <sz val="11"/>
      <name val="Calibri"/>
    </font>
    <font>
      <b/>
      <color theme="1"/>
      <family val="2"/>
      <scheme val="minor"/>
      <sz val="16"/>
      <name val="Calibri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6" tint="0.5999938962981048"/>
        <bgColor indexed="64"/>
      </patternFill>
    </fill>
  </fills>
  <borders count="21">
    <border>
      <left/>
      <right/>
      <top/>
      <bottom/>
      <diagonal/>
    </border>
    <border>
      <left style="medium"/>
      <right/>
      <top style="medium"/>
      <bottom/>
      <diagonal/>
    </border>
    <border>
      <left/>
      <right/>
      <top style="medium"/>
      <bottom/>
      <diagonal/>
    </border>
    <border>
      <left/>
      <right style="medium"/>
      <top style="medium"/>
      <bottom/>
      <diagonal/>
    </border>
    <border>
      <left style="medium"/>
      <right/>
      <top/>
      <bottom/>
      <diagonal/>
    </border>
    <border>
      <left/>
      <right style="medium"/>
      <top/>
      <bottom/>
      <diagonal/>
    </border>
    <border>
      <left style="medium"/>
      <right/>
      <top/>
      <bottom style="medium"/>
      <diagonal/>
    </border>
    <border>
      <left/>
      <right/>
      <top/>
      <bottom style="medium"/>
      <diagonal/>
    </border>
    <border>
      <left/>
      <right style="medium"/>
      <top/>
      <bottom style="medium"/>
      <diagonal/>
    </border>
    <border>
      <left style="medium"/>
      <right/>
      <top style="medium"/>
      <bottom style="medium"/>
      <diagonal/>
    </border>
    <border>
      <left/>
      <right/>
      <top style="medium"/>
      <bottom style="medium"/>
      <diagonal/>
    </border>
    <border>
      <left/>
      <right style="medium"/>
      <top style="medium"/>
      <bottom style="medium"/>
      <diagonal/>
    </border>
    <border>
      <left style="medium"/>
      <right/>
      <top/>
      <bottom style="thin"/>
      <diagonal/>
    </border>
    <border>
      <left/>
      <right/>
      <top/>
      <bottom style="thin"/>
      <diagonal/>
    </border>
    <border>
      <left/>
      <right/>
      <top style="thin"/>
      <bottom style="thin"/>
      <diagonal/>
    </border>
    <border>
      <left/>
      <right style="medium"/>
      <top/>
      <bottom style="thin"/>
      <diagonal/>
    </border>
    <border>
      <left style="medium"/>
      <right/>
      <top style="thin"/>
      <bottom style="thin"/>
      <diagonal/>
    </border>
    <border>
      <left/>
      <right style="medium"/>
      <top style="thin"/>
      <bottom style="thin"/>
      <diagonal/>
    </border>
    <border>
      <left style="medium"/>
      <right/>
      <top style="thin"/>
      <bottom style="medium"/>
      <diagonal/>
    </border>
    <border>
      <left/>
      <right/>
      <top style="thin"/>
      <bottom style="medium"/>
      <diagonal/>
    </border>
    <border>
      <left/>
      <right style="medium"/>
      <top style="thin"/>
      <bottom style="medium"/>
      <diagonal/>
    </border>
  </borders>
  <cellStyleXfs count="1">
    <xf numFmtId="0" fontId="0" fillId="0" borderId="0"/>
  </cellStyleXfs>
  <cellXfs count="87">
    <xf numFmtId="0" fontId="0" fillId="0" borderId="0" xfId="0"/>
    <xf numFmtId="3" fontId="0" fillId="0" borderId="1" xfId="0" applyNumberFormat="1" applyBorder="1"/>
    <xf numFmtId="0" fontId="1" fillId="0" borderId="2" xfId="0" applyFont="1" applyBorder="1"/>
    <xf numFmtId="0" fontId="0" fillId="0" borderId="3" xfId="0" applyBorder="1"/>
    <xf numFmtId="14" fontId="2" fillId="0" borderId="0" xfId="0" applyNumberFormat="1" applyFont="1"/>
    <xf numFmtId="0" fontId="0" fillId="0" borderId="4" xfId="0" applyBorder="1"/>
    <xf numFmtId="0" fontId="3" fillId="0" borderId="0" xfId="0" applyFont="1"/>
    <xf numFmtId="0" fontId="0" fillId="0" borderId="5" xfId="0" applyBorder="1"/>
    <xf numFmtId="19" fontId="4" fillId="0" borderId="0" xfId="0" applyNumberFormat="1" applyFont="1" applyAlignment="1">
      <alignment horizontal="right"/>
    </xf>
    <xf numFmtId="0" fontId="0" fillId="0" borderId="6" xfId="0" applyBorder="1"/>
    <xf numFmtId="0" fontId="5" fillId="0" borderId="7" xfId="0" applyFont="1" applyBorder="1"/>
    <xf numFmtId="0" fontId="0" fillId="0" borderId="8" xfId="0" applyBorder="1"/>
    <xf numFmtId="0" fontId="4" fillId="0" borderId="0" xfId="0" applyFont="1"/>
    <xf numFmtId="0" fontId="2" fillId="0" borderId="9" xfId="0" applyFont="1" applyBorder="1"/>
    <xf numFmtId="0" fontId="2" fillId="0" borderId="10" xfId="0" applyFont="1" applyBorder="1"/>
    <xf numFmtId="0" fontId="2" fillId="0" borderId="10" xfId="0" applyFont="1" applyBorder="1" applyAlignment="1">
      <alignment horizontal="center" wrapText="1"/>
    </xf>
    <xf numFmtId="3" fontId="2" fillId="0" borderId="10" xfId="0" applyNumberFormat="1" applyFont="1" applyBorder="1"/>
    <xf numFmtId="0" fontId="4" fillId="0" borderId="10" xfId="0" applyFont="1" applyBorder="1" applyAlignment="1">
      <alignment horizontal="center" wrapText="1"/>
    </xf>
    <xf numFmtId="0" fontId="4" fillId="0" borderId="11" xfId="0" applyFont="1" applyBorder="1" applyAlignment="1">
      <alignment horizontal="center" wrapText="1"/>
    </xf>
    <xf numFmtId="0" fontId="6" fillId="2" borderId="12" xfId="0" applyFont="1" applyFill="1" applyBorder="1" applyAlignment="1">
      <alignment vertical="top"/>
    </xf>
    <xf numFmtId="0" fontId="6" fillId="2" borderId="13" xfId="0" applyFont="1" applyFill="1" applyBorder="1" applyAlignment="1">
      <alignment vertical="top"/>
    </xf>
    <xf numFmtId="0" fontId="2" fillId="2" borderId="13" xfId="0" applyFont="1" applyFill="1" applyBorder="1" applyAlignment="1">
      <alignment horizontal="center"/>
    </xf>
    <xf numFmtId="0" fontId="0" fillId="2" borderId="13" xfId="0" applyFill="1" applyBorder="1"/>
    <xf numFmtId="3" fontId="7" fillId="2" borderId="14" xfId="0" applyNumberFormat="1" applyFont="1" applyFill="1" applyBorder="1"/>
    <xf numFmtId="3" fontId="0" fillId="2" borderId="13" xfId="0" applyNumberFormat="1" applyFill="1" applyBorder="1"/>
    <xf numFmtId="3" fontId="7" fillId="2" borderId="13" xfId="0" applyNumberFormat="1" applyFont="1" applyFill="1" applyBorder="1"/>
    <xf numFmtId="0" fontId="7" fillId="2" borderId="13" xfId="0" applyFont="1" applyFill="1" applyBorder="1"/>
    <xf numFmtId="0" fontId="7" fillId="2" borderId="15" xfId="0" applyFont="1" applyFill="1" applyBorder="1" applyAlignment="1">
      <alignment horizontal="right"/>
    </xf>
    <xf numFmtId="3" fontId="0" fillId="0" borderId="0" xfId="0" applyNumberFormat="1"/>
    <xf numFmtId="0" fontId="6" fillId="0" borderId="16" xfId="0" applyFont="1" applyBorder="1" applyAlignment="1">
      <alignment vertical="top"/>
    </xf>
    <xf numFmtId="0" fontId="6" fillId="0" borderId="14" xfId="0" applyFont="1" applyBorder="1" applyAlignment="1">
      <alignment vertical="top"/>
    </xf>
    <xf numFmtId="0" fontId="2" fillId="0" borderId="14" xfId="0" applyFont="1" applyBorder="1" applyAlignment="1">
      <alignment horizontal="center"/>
    </xf>
    <xf numFmtId="0" fontId="0" fillId="0" borderId="14" xfId="0" applyBorder="1"/>
    <xf numFmtId="3" fontId="7" fillId="0" borderId="14" xfId="0" applyNumberFormat="1" applyFont="1" applyBorder="1"/>
    <xf numFmtId="3" fontId="0" fillId="0" borderId="14" xfId="0" applyNumberFormat="1" applyBorder="1"/>
    <xf numFmtId="0" fontId="7" fillId="0" borderId="14" xfId="0" applyFont="1" applyBorder="1"/>
    <xf numFmtId="0" fontId="7" fillId="0" borderId="17" xfId="0" applyFont="1" applyBorder="1"/>
    <xf numFmtId="0" fontId="6" fillId="0" borderId="16" xfId="0" applyFont="1" applyBorder="1"/>
    <xf numFmtId="0" fontId="6" fillId="0" borderId="14" xfId="0" applyFont="1" applyBorder="1"/>
    <xf numFmtId="3" fontId="7" fillId="3" borderId="14" xfId="0" applyNumberFormat="1" applyFont="1" applyFill="1" applyBorder="1"/>
    <xf numFmtId="0" fontId="6" fillId="2" borderId="16" xfId="0" applyFont="1" applyFill="1" applyBorder="1"/>
    <xf numFmtId="0" fontId="6" fillId="2" borderId="14" xfId="0" applyFont="1" applyFill="1" applyBorder="1"/>
    <xf numFmtId="0" fontId="2" fillId="2" borderId="14" xfId="0" applyFont="1" applyFill="1" applyBorder="1" applyAlignment="1">
      <alignment horizontal="center"/>
    </xf>
    <xf numFmtId="0" fontId="0" fillId="2" borderId="14" xfId="0" applyFill="1" applyBorder="1"/>
    <xf numFmtId="3" fontId="0" fillId="2" borderId="14" xfId="0" applyNumberFormat="1" applyFill="1" applyBorder="1"/>
    <xf numFmtId="0" fontId="7" fillId="2" borderId="14" xfId="0" applyFont="1" applyFill="1" applyBorder="1"/>
    <xf numFmtId="0" fontId="7" fillId="2" borderId="17" xfId="0" applyFont="1" applyFill="1" applyBorder="1"/>
    <xf numFmtId="3" fontId="7" fillId="4" borderId="14" xfId="0" applyNumberFormat="1" applyFont="1" applyFill="1" applyBorder="1"/>
    <xf numFmtId="3" fontId="8" fillId="0" borderId="14" xfId="0" applyNumberFormat="1" applyFont="1" applyBorder="1"/>
    <xf numFmtId="0" fontId="9" fillId="0" borderId="14" xfId="0" applyFont="1" applyBorder="1"/>
    <xf numFmtId="3" fontId="6" fillId="2" borderId="16" xfId="0" applyNumberFormat="1" applyFont="1" applyFill="1" applyBorder="1" applyAlignment="1">
      <alignment horizontal="left" vertical="top"/>
    </xf>
    <xf numFmtId="3" fontId="6" fillId="2" borderId="14" xfId="0" applyNumberFormat="1" applyFont="1" applyFill="1" applyBorder="1" applyAlignment="1">
      <alignment horizontal="left" vertical="top"/>
    </xf>
    <xf numFmtId="3" fontId="2" fillId="2" borderId="14" xfId="0" applyNumberFormat="1" applyFont="1" applyFill="1" applyBorder="1" applyAlignment="1">
      <alignment horizontal="center" vertical="center"/>
    </xf>
    <xf numFmtId="3" fontId="0" fillId="2" borderId="14" xfId="0" applyNumberFormat="1" applyFill="1" applyBorder="1" applyAlignment="1">
      <alignment horizontal="center" vertical="center"/>
    </xf>
    <xf numFmtId="3" fontId="8" fillId="2" borderId="14" xfId="0" applyNumberFormat="1" applyFont="1" applyFill="1" applyBorder="1"/>
    <xf numFmtId="3" fontId="6" fillId="0" borderId="16" xfId="0" applyNumberFormat="1" applyFont="1" applyBorder="1" applyAlignment="1">
      <alignment horizontal="left" vertical="top"/>
    </xf>
    <xf numFmtId="3" fontId="6" fillId="0" borderId="14" xfId="0" applyNumberFormat="1" applyFont="1" applyBorder="1" applyAlignment="1">
      <alignment horizontal="left" vertical="top"/>
    </xf>
    <xf numFmtId="3" fontId="2" fillId="0" borderId="14" xfId="0" applyNumberFormat="1" applyFont="1" applyBorder="1" applyAlignment="1">
      <alignment horizontal="center" vertical="center"/>
    </xf>
    <xf numFmtId="3" fontId="0" fillId="0" borderId="14" xfId="0" applyNumberFormat="1" applyBorder="1" applyAlignment="1">
      <alignment horizontal="center" vertical="center"/>
    </xf>
    <xf numFmtId="3" fontId="10" fillId="0" borderId="16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left" vertical="top"/>
    </xf>
    <xf numFmtId="3" fontId="10" fillId="0" borderId="14" xfId="0" applyNumberFormat="1" applyFont="1" applyBorder="1" applyAlignment="1">
      <alignment horizontal="center" vertical="center"/>
    </xf>
    <xf numFmtId="3" fontId="11" fillId="0" borderId="14" xfId="0" applyNumberFormat="1" applyFont="1" applyBorder="1" applyAlignment="1">
      <alignment horizontal="center" vertical="center"/>
    </xf>
    <xf numFmtId="3" fontId="12" fillId="3" borderId="14" xfId="0" applyNumberFormat="1" applyFont="1" applyFill="1" applyBorder="1"/>
    <xf numFmtId="3" fontId="11" fillId="0" borderId="14" xfId="0" applyNumberFormat="1" applyFont="1" applyBorder="1"/>
    <xf numFmtId="3" fontId="12" fillId="0" borderId="14" xfId="0" applyNumberFormat="1" applyFont="1" applyBorder="1"/>
    <xf numFmtId="3" fontId="13" fillId="0" borderId="16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left" vertical="top"/>
    </xf>
    <xf numFmtId="3" fontId="13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 applyAlignment="1">
      <alignment horizontal="center" vertical="center"/>
    </xf>
    <xf numFmtId="3" fontId="14" fillId="0" borderId="14" xfId="0" applyNumberFormat="1" applyFont="1" applyBorder="1"/>
    <xf numFmtId="3" fontId="13" fillId="0" borderId="18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left" vertical="top"/>
    </xf>
    <xf numFmtId="3" fontId="13" fillId="0" borderId="19" xfId="0" applyNumberFormat="1" applyFont="1" applyBorder="1" applyAlignment="1">
      <alignment horizontal="center" vertical="center"/>
    </xf>
    <xf numFmtId="3" fontId="14" fillId="0" borderId="19" xfId="0" applyNumberFormat="1" applyFont="1" applyBorder="1" applyAlignment="1">
      <alignment horizontal="center" vertical="center"/>
    </xf>
    <xf numFmtId="3" fontId="7" fillId="0" borderId="19" xfId="0" applyNumberFormat="1" applyFont="1" applyBorder="1"/>
    <xf numFmtId="3" fontId="14" fillId="0" borderId="19" xfId="0" applyNumberFormat="1" applyFont="1" applyBorder="1"/>
    <xf numFmtId="3" fontId="8" fillId="0" borderId="19" xfId="0" applyNumberFormat="1" applyFont="1" applyBorder="1"/>
    <xf numFmtId="0" fontId="7" fillId="0" borderId="19" xfId="0" applyFont="1" applyBorder="1"/>
    <xf numFmtId="0" fontId="7" fillId="0" borderId="20" xfId="0" applyFont="1" applyBorder="1"/>
    <xf numFmtId="0" fontId="0" fillId="0" borderId="0" xfId="0" applyAlignment="1">
      <alignment vertical="top"/>
    </xf>
    <xf numFmtId="3" fontId="15" fillId="0" borderId="0" xfId="0" applyNumberFormat="1" applyFont="1"/>
    <xf numFmtId="0" fontId="0" fillId="2" borderId="0" xfId="0" applyFill="1"/>
    <xf numFmtId="3" fontId="7" fillId="2" borderId="0" xfId="0" applyNumberFormat="1" applyFont="1" applyFill="1"/>
    <xf numFmtId="3" fontId="7" fillId="0" borderId="0" xfId="0" applyNumberFormat="1" applyFont="1"/>
    <xf numFmtId="3" fontId="6" fillId="0" borderId="0" xfId="0" applyNumberFormat="1" applyFont="1"/>
    <xf numFmtId="164" fontId="0" fillId="0" borderId="0" xfId="0" applyNumberFormat="1"/>
  </cellXfs>
  <cellStyles count="1">
    <cellStyle name="Normal" xfId="0" builtinId="0"/>
  </cellStyles>
  <dxfs count="47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8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L75"/>
  <sheetViews>
    <sheetView workbookViewId="0" zoomScale="80" zoomScaleNormal="80">
      <selection activeCell="E17" sqref="E17"/>
    </sheetView>
  </sheetViews>
  <sheetFormatPr defaultRowHeight="15" outlineLevelRow="0" outlineLevelCol="0" x14ac:dyDescent="0.25"/>
  <cols>
    <col min="1" max="1" width="17.140625" customWidth="1"/>
    <col min="2" max="2" width="57.5703125" customWidth="1"/>
    <col min="4" max="4" width="4.28515625" customWidth="1"/>
    <col min="5" max="5" width="19.28515625" customWidth="1"/>
    <col min="6" max="6" width="2.7109375" customWidth="1"/>
    <col min="7" max="7" width="7.42578125" customWidth="1"/>
    <col min="8" max="8" width="13.28515625" customWidth="1"/>
    <col min="9" max="9" width="18.85546875" customWidth="1"/>
    <col min="10" max="10" width="17.28515625" customWidth="1"/>
    <col min="11" max="11" width="15.28515625" customWidth="1"/>
  </cols>
  <sheetData>
    <row r="1" ht="15.75" customHeight="1" spans="1:10" x14ac:dyDescent="0.25">
      <c r="A1" t="s">
        <v>0</v>
      </c>
      <c r="D1" s="1"/>
      <c r="E1" s="2" t="s">
        <v>1</v>
      </c>
      <c r="F1" s="3"/>
      <c r="J1" s="4">
        <v>46291</v>
      </c>
    </row>
    <row r="2" ht="15.75" customHeight="1" spans="1:10" x14ac:dyDescent="0.25">
      <c r="A2" t="s">
        <v>2</v>
      </c>
      <c r="D2" s="5"/>
      <c r="E2" s="6" t="s">
        <v>3</v>
      </c>
      <c r="F2" s="7"/>
      <c r="J2" s="8">
        <v>0.3333333333321207</v>
      </c>
    </row>
    <row r="3" ht="16.5" customHeight="1" spans="1:6" x14ac:dyDescent="0.25">
      <c r="A3" t="s">
        <v>4</v>
      </c>
      <c r="D3" s="9"/>
      <c r="E3" s="10" t="s">
        <v>5</v>
      </c>
      <c r="F3" s="11"/>
    </row>
    <row r="4" ht="35.1" customHeight="1" spans="1:10" s="12" customFormat="1" x14ac:dyDescent="0.25">
      <c r="A4" s="13" t="s">
        <v>6</v>
      </c>
      <c r="B4" s="14" t="s">
        <v>7</v>
      </c>
      <c r="C4" s="15" t="s">
        <v>8</v>
      </c>
      <c r="D4" s="14"/>
      <c r="E4" s="14" t="s">
        <v>9</v>
      </c>
      <c r="F4" s="14"/>
      <c r="G4" s="14" t="s">
        <v>10</v>
      </c>
      <c r="H4" s="16" t="s">
        <v>11</v>
      </c>
      <c r="I4" s="17" t="s">
        <v>12</v>
      </c>
      <c r="J4" s="18" t="s">
        <v>13</v>
      </c>
    </row>
    <row r="5" ht="27.95" customHeight="1" spans="1:11" x14ac:dyDescent="0.25">
      <c r="A5" s="19" t="s">
        <v>14</v>
      </c>
      <c r="B5" s="20" t="s">
        <v>15</v>
      </c>
      <c r="C5" s="21">
        <v>80</v>
      </c>
      <c r="D5" s="22"/>
      <c r="E5" s="23">
        <f>951+17680+15440+13680+2720+3760</f>
        <v>54231</v>
      </c>
      <c r="F5" s="24"/>
      <c r="G5" s="24" t="s">
        <v>16</v>
      </c>
      <c r="H5" s="25">
        <f>+E5/C5</f>
        <v>677.8875</v>
      </c>
      <c r="I5" s="26">
        <v>804</v>
      </c>
      <c r="J5" s="27">
        <f>IFERROR(ROUND((+H5/I5),1),0)</f>
        <v>0.8</v>
      </c>
      <c r="K5" s="28"/>
    </row>
    <row r="6" ht="27.95" customHeight="1" spans="1:10" x14ac:dyDescent="0.25">
      <c r="A6" s="29" t="s">
        <v>17</v>
      </c>
      <c r="B6" s="30" t="s">
        <v>18</v>
      </c>
      <c r="C6" s="31">
        <v>80</v>
      </c>
      <c r="D6" s="32"/>
      <c r="E6" s="33">
        <v>16996</v>
      </c>
      <c r="F6" s="34"/>
      <c r="G6" s="34" t="s">
        <v>16</v>
      </c>
      <c r="H6" s="33">
        <f t="shared" ref="H6:H41" si="0">+E6/C6</f>
        <v>212.45</v>
      </c>
      <c r="I6" s="35">
        <v>111</v>
      </c>
      <c r="J6" s="36">
        <f>IFERROR(ROUND((+H6/I6),1),0)</f>
        <v>1.9</v>
      </c>
    </row>
    <row r="7" ht="27.95" customHeight="1" spans="1:10" x14ac:dyDescent="0.25">
      <c r="A7" s="29" t="s">
        <v>19</v>
      </c>
      <c r="B7" s="30" t="s">
        <v>20</v>
      </c>
      <c r="C7" s="31">
        <v>80</v>
      </c>
      <c r="D7" s="32"/>
      <c r="E7" s="33">
        <v>24127</v>
      </c>
      <c r="F7" s="34"/>
      <c r="G7" s="34" t="s">
        <v>16</v>
      </c>
      <c r="H7" s="33">
        <f t="shared" si="0"/>
        <v>301.5875</v>
      </c>
      <c r="I7" s="35">
        <v>240</v>
      </c>
      <c r="J7" s="36">
        <f>IFERROR(ROUND((+H7/I7),1),0)</f>
        <v>1.3</v>
      </c>
    </row>
    <row r="8" ht="27.95" customHeight="1" spans="1:10" x14ac:dyDescent="0.25">
      <c r="A8" s="29" t="s">
        <v>21</v>
      </c>
      <c r="B8" s="30" t="s">
        <v>22</v>
      </c>
      <c r="C8" s="31">
        <v>80</v>
      </c>
      <c r="D8" s="32"/>
      <c r="E8" s="33">
        <f>11502+480+2400</f>
        <v>14382</v>
      </c>
      <c r="F8" s="34"/>
      <c r="G8" s="34" t="s">
        <v>16</v>
      </c>
      <c r="H8" s="33">
        <f t="shared" si="0"/>
        <v>179.775</v>
      </c>
      <c r="I8" s="35">
        <v>83</v>
      </c>
      <c r="J8" s="36">
        <f>IFERROR(ROUND((+H8/I8),1),0)</f>
        <v>2.2</v>
      </c>
    </row>
    <row r="9" ht="24.95" customHeight="1" spans="1:10" x14ac:dyDescent="0.25">
      <c r="A9" s="29" t="s">
        <v>23</v>
      </c>
      <c r="B9" s="30" t="s">
        <v>24</v>
      </c>
      <c r="C9" s="31">
        <v>80</v>
      </c>
      <c r="D9" s="32"/>
      <c r="E9" s="33">
        <v>0</v>
      </c>
      <c r="F9" s="34"/>
      <c r="G9" s="34" t="s">
        <v>16</v>
      </c>
      <c r="H9" s="33">
        <f t="shared" si="0"/>
        <v>0</v>
      </c>
      <c r="I9" s="35">
        <v>86</v>
      </c>
      <c r="J9" s="36">
        <f>IFERROR(ROUND((+H9/I9),1),0)</f>
        <v>0</v>
      </c>
    </row>
    <row r="10" ht="27.95" customHeight="1" spans="1:10" x14ac:dyDescent="0.25">
      <c r="A10" s="29" t="s">
        <v>25</v>
      </c>
      <c r="B10" s="30" t="s">
        <v>26</v>
      </c>
      <c r="C10" s="31">
        <v>80</v>
      </c>
      <c r="D10" s="32"/>
      <c r="E10" s="33">
        <f>13196+16633</f>
        <v>29829</v>
      </c>
      <c r="F10" s="34"/>
      <c r="G10" s="34" t="s">
        <v>16</v>
      </c>
      <c r="H10" s="33">
        <f t="shared" si="0"/>
        <v>372.8625</v>
      </c>
      <c r="I10" s="35">
        <v>261</v>
      </c>
      <c r="J10" s="36">
        <f>IFERROR(ROUND((+H10/I10),1),0)</f>
        <v>1.4</v>
      </c>
    </row>
    <row r="11" ht="27.95" customHeight="1" spans="1:10" x14ac:dyDescent="0.25">
      <c r="A11" s="37" t="s">
        <v>27</v>
      </c>
      <c r="B11" s="38" t="s">
        <v>28</v>
      </c>
      <c r="C11" s="31">
        <v>80</v>
      </c>
      <c r="D11" s="32"/>
      <c r="E11" s="33">
        <v>3104</v>
      </c>
      <c r="F11" s="34"/>
      <c r="G11" s="34" t="s">
        <v>16</v>
      </c>
      <c r="H11" s="33">
        <f t="shared" si="0"/>
        <v>38.8</v>
      </c>
      <c r="I11" s="35">
        <v>6</v>
      </c>
      <c r="J11" s="36">
        <f>IFERROR(ROUND((+H11/I11),1),0)</f>
        <v>6.5</v>
      </c>
    </row>
    <row r="12" ht="27.95" customHeight="1" spans="1:10" x14ac:dyDescent="0.25">
      <c r="A12" s="37" t="s">
        <v>29</v>
      </c>
      <c r="B12" s="38" t="s">
        <v>30</v>
      </c>
      <c r="C12" s="31">
        <v>80</v>
      </c>
      <c r="D12" s="32"/>
      <c r="E12" s="39">
        <f>30820-1-1</f>
        <v>30818</v>
      </c>
      <c r="F12" s="32"/>
      <c r="G12" s="32" t="s">
        <v>31</v>
      </c>
      <c r="H12" s="33">
        <f t="shared" si="0"/>
        <v>385.225</v>
      </c>
      <c r="I12" s="35">
        <v>60</v>
      </c>
      <c r="J12" s="36">
        <f>IFERROR(ROUND((+H12/I12),1),0)</f>
        <v>6.4</v>
      </c>
    </row>
    <row r="13" ht="27.95" customHeight="1" spans="1:10" x14ac:dyDescent="0.25">
      <c r="A13" s="37" t="s">
        <v>32</v>
      </c>
      <c r="B13" s="38" t="s">
        <v>33</v>
      </c>
      <c r="C13" s="31">
        <v>80</v>
      </c>
      <c r="D13" s="32"/>
      <c r="E13" s="33">
        <v>5247</v>
      </c>
      <c r="F13" s="32"/>
      <c r="G13" s="32" t="s">
        <v>31</v>
      </c>
      <c r="H13" s="33">
        <f t="shared" si="0"/>
        <v>65.5875</v>
      </c>
      <c r="I13" s="35">
        <v>6</v>
      </c>
      <c r="J13" s="36">
        <f>IFERROR(ROUND((+H13/I13),1),0)</f>
        <v>10.9</v>
      </c>
    </row>
    <row r="14" ht="27.95" customHeight="1" spans="1:10" x14ac:dyDescent="0.25">
      <c r="A14" s="40" t="s">
        <v>34</v>
      </c>
      <c r="B14" s="41" t="s">
        <v>35</v>
      </c>
      <c r="C14" s="42">
        <v>78</v>
      </c>
      <c r="D14" s="43"/>
      <c r="E14" s="23">
        <v>4094</v>
      </c>
      <c r="F14" s="44"/>
      <c r="G14" s="44" t="s">
        <v>31</v>
      </c>
      <c r="H14" s="23">
        <f t="shared" si="0"/>
        <v>52.48717948717949</v>
      </c>
      <c r="I14" s="45">
        <v>118</v>
      </c>
      <c r="J14" s="46">
        <f>IFERROR(ROUND((+H14/I14),1),0)</f>
        <v>0.4</v>
      </c>
    </row>
    <row r="15" ht="27.95" customHeight="1" spans="1:10" x14ac:dyDescent="0.25">
      <c r="A15" s="37" t="s">
        <v>36</v>
      </c>
      <c r="B15" s="38" t="s">
        <v>37</v>
      </c>
      <c r="C15" s="31">
        <v>78</v>
      </c>
      <c r="D15" s="32"/>
      <c r="E15" s="39">
        <f>64-1</f>
        <v>63</v>
      </c>
      <c r="F15" s="34"/>
      <c r="G15" s="34" t="s">
        <v>31</v>
      </c>
      <c r="H15" s="33">
        <f t="shared" si="0"/>
        <v>0.8076923076923077</v>
      </c>
      <c r="I15" s="35">
        <v>14</v>
      </c>
      <c r="J15" s="36">
        <f>IFERROR(ROUND((+H15/I15),1),0)</f>
        <v>0.1</v>
      </c>
    </row>
    <row r="16" ht="27.95" customHeight="1" spans="1:10" x14ac:dyDescent="0.25">
      <c r="A16" s="37" t="s">
        <v>38</v>
      </c>
      <c r="B16" s="38" t="s">
        <v>39</v>
      </c>
      <c r="C16" s="31">
        <v>78</v>
      </c>
      <c r="D16" s="32"/>
      <c r="E16" s="33">
        <f>40+5382+2340</f>
        <v>7762</v>
      </c>
      <c r="F16" s="34"/>
      <c r="G16" s="34" t="s">
        <v>31</v>
      </c>
      <c r="H16" s="33">
        <f t="shared" si="0"/>
        <v>99.51282051282051</v>
      </c>
      <c r="I16" s="35">
        <v>49</v>
      </c>
      <c r="J16" s="36">
        <f>IFERROR(ROUND((+H16/I16),1),0)</f>
        <v>2</v>
      </c>
    </row>
    <row r="17" ht="27.95" customHeight="1" spans="1:10" x14ac:dyDescent="0.25">
      <c r="A17" s="37" t="s">
        <v>40</v>
      </c>
      <c r="B17" s="38" t="s">
        <v>41</v>
      </c>
      <c r="C17" s="31">
        <v>78</v>
      </c>
      <c r="D17" s="32"/>
      <c r="E17" s="47">
        <f>194+1+455</f>
        <v>650</v>
      </c>
      <c r="F17" s="34"/>
      <c r="G17" s="34" t="s">
        <v>31</v>
      </c>
      <c r="H17" s="33">
        <f t="shared" si="0"/>
        <v>8.333333333333334</v>
      </c>
      <c r="I17" s="35">
        <v>45</v>
      </c>
      <c r="J17" s="36">
        <f>IFERROR(ROUND((+H17/I17),1),0)</f>
        <v>0.2</v>
      </c>
    </row>
    <row r="18" ht="27.95" customHeight="1" spans="1:10" x14ac:dyDescent="0.25">
      <c r="A18" s="37" t="s">
        <v>42</v>
      </c>
      <c r="B18" s="38" t="s">
        <v>43</v>
      </c>
      <c r="C18" s="31">
        <v>78</v>
      </c>
      <c r="D18" s="32"/>
      <c r="E18" s="33">
        <v>5370</v>
      </c>
      <c r="F18" s="34"/>
      <c r="G18" s="32" t="s">
        <v>31</v>
      </c>
      <c r="H18" s="33">
        <f t="shared" si="0"/>
        <v>68.84615384615384</v>
      </c>
      <c r="I18" s="35">
        <v>7</v>
      </c>
      <c r="J18" s="36">
        <f>IFERROR(ROUND((+H18/I18),1),0)</f>
        <v>9.8</v>
      </c>
    </row>
    <row r="19" ht="27.95" customHeight="1" spans="1:10" x14ac:dyDescent="0.25">
      <c r="A19" s="37" t="s">
        <v>44</v>
      </c>
      <c r="B19" s="38" t="s">
        <v>45</v>
      </c>
      <c r="C19" s="31">
        <v>78</v>
      </c>
      <c r="D19" s="32"/>
      <c r="E19" s="33">
        <v>1</v>
      </c>
      <c r="F19" s="34"/>
      <c r="G19" s="32" t="s">
        <v>31</v>
      </c>
      <c r="H19" s="33">
        <f t="shared" si="0"/>
        <v>0.01282051282051282</v>
      </c>
      <c r="I19" s="35">
        <v>8</v>
      </c>
      <c r="J19" s="36">
        <f>IFERROR(ROUND((+H19/I19),1),0)</f>
        <v>0</v>
      </c>
    </row>
    <row r="20" ht="27.95" customHeight="1" spans="1:10" x14ac:dyDescent="0.25">
      <c r="A20" s="37" t="s">
        <v>46</v>
      </c>
      <c r="B20" s="38" t="s">
        <v>47</v>
      </c>
      <c r="C20" s="31">
        <v>78</v>
      </c>
      <c r="D20" s="32"/>
      <c r="E20" s="48">
        <v>11362</v>
      </c>
      <c r="F20" s="34"/>
      <c r="G20" s="32" t="s">
        <v>31</v>
      </c>
      <c r="H20" s="33">
        <f t="shared" si="0"/>
        <v>145.66666666666666</v>
      </c>
      <c r="I20" s="35">
        <v>9</v>
      </c>
      <c r="J20" s="36">
        <f>IFERROR(ROUND((+H20/I20),1),0)</f>
        <v>16.2</v>
      </c>
    </row>
    <row r="21" ht="27.95" customHeight="1" spans="1:10" x14ac:dyDescent="0.25">
      <c r="A21" s="40" t="s">
        <v>48</v>
      </c>
      <c r="B21" s="41" t="s">
        <v>49</v>
      </c>
      <c r="C21" s="42">
        <v>160</v>
      </c>
      <c r="D21" s="43"/>
      <c r="E21" s="23">
        <f>9064+7449</f>
        <v>16513</v>
      </c>
      <c r="F21" s="43"/>
      <c r="G21" s="43" t="s">
        <v>31</v>
      </c>
      <c r="H21" s="23">
        <f t="shared" si="0"/>
        <v>103.20625</v>
      </c>
      <c r="I21" s="45">
        <v>46</v>
      </c>
      <c r="J21" s="46">
        <f>IFERROR(ROUND((+H21/I21),1),0)</f>
        <v>2.2</v>
      </c>
    </row>
    <row r="22" ht="27.95" customHeight="1" spans="1:10" x14ac:dyDescent="0.25">
      <c r="A22" s="37" t="s">
        <v>50</v>
      </c>
      <c r="B22" s="38" t="s">
        <v>51</v>
      </c>
      <c r="C22" s="31">
        <v>160</v>
      </c>
      <c r="D22" s="32"/>
      <c r="E22" s="33">
        <v>11238</v>
      </c>
      <c r="F22" s="32"/>
      <c r="G22" s="32" t="s">
        <v>31</v>
      </c>
      <c r="H22" s="33">
        <f t="shared" si="0"/>
        <v>70.2375</v>
      </c>
      <c r="I22" s="35">
        <v>6</v>
      </c>
      <c r="J22" s="36">
        <f>IFERROR(ROUND((+H22/I22),1),0)</f>
        <v>11.7</v>
      </c>
    </row>
    <row r="23" ht="27.95" customHeight="1" spans="1:10" x14ac:dyDescent="0.25">
      <c r="A23" s="37" t="s">
        <v>52</v>
      </c>
      <c r="B23" s="38" t="s">
        <v>53</v>
      </c>
      <c r="C23" s="31">
        <v>160</v>
      </c>
      <c r="D23" s="32"/>
      <c r="E23" s="33">
        <v>16853</v>
      </c>
      <c r="F23" s="32"/>
      <c r="G23" s="32" t="s">
        <v>31</v>
      </c>
      <c r="H23" s="33">
        <f t="shared" si="0"/>
        <v>105.33125</v>
      </c>
      <c r="I23" s="35">
        <v>20</v>
      </c>
      <c r="J23" s="36">
        <f>IFERROR(ROUND((+H23/I23),1),0)</f>
        <v>5.3</v>
      </c>
    </row>
    <row r="24" ht="27.95" customHeight="1" spans="1:10" x14ac:dyDescent="0.25">
      <c r="A24" s="37" t="s">
        <v>54</v>
      </c>
      <c r="B24" s="38" t="s">
        <v>55</v>
      </c>
      <c r="C24" s="31">
        <v>160</v>
      </c>
      <c r="D24" s="32"/>
      <c r="E24" s="33">
        <v>11389</v>
      </c>
      <c r="F24" s="32"/>
      <c r="G24" s="49" t="s">
        <v>31</v>
      </c>
      <c r="H24" s="33">
        <f t="shared" si="0"/>
        <v>71.18125</v>
      </c>
      <c r="I24" s="35">
        <v>20</v>
      </c>
      <c r="J24" s="36">
        <f>IFERROR(ROUND((+H24/I24),1),0)</f>
        <v>3.6</v>
      </c>
    </row>
    <row r="25" ht="27.95" customHeight="1" spans="1:12" x14ac:dyDescent="0.25">
      <c r="A25" s="37" t="s">
        <v>56</v>
      </c>
      <c r="B25" s="38" t="s">
        <v>57</v>
      </c>
      <c r="C25" s="31">
        <v>160</v>
      </c>
      <c r="D25" s="32"/>
      <c r="E25" s="33">
        <v>1170</v>
      </c>
      <c r="F25" s="32"/>
      <c r="G25" s="32" t="s">
        <v>31</v>
      </c>
      <c r="H25" s="33">
        <f t="shared" si="0"/>
        <v>7.3125</v>
      </c>
      <c r="I25" s="35">
        <v>4</v>
      </c>
      <c r="J25" s="36">
        <f>IFERROR(ROUND((+H25/I25),1),0)</f>
        <v>1.8</v>
      </c>
      <c r="L25" s="28"/>
    </row>
    <row r="26" ht="27.95" customHeight="1" spans="1:10" x14ac:dyDescent="0.25">
      <c r="A26" s="50" t="s">
        <v>58</v>
      </c>
      <c r="B26" s="51" t="s">
        <v>59</v>
      </c>
      <c r="C26" s="52">
        <v>50</v>
      </c>
      <c r="D26" s="53"/>
      <c r="E26" s="54">
        <v>1516</v>
      </c>
      <c r="F26" s="53"/>
      <c r="G26" s="44" t="s">
        <v>16</v>
      </c>
      <c r="H26" s="23">
        <f t="shared" si="0"/>
        <v>30.32</v>
      </c>
      <c r="I26" s="45">
        <v>108</v>
      </c>
      <c r="J26" s="46">
        <f>IFERROR(ROUND((+H26/I26),1),0)</f>
        <v>0.3</v>
      </c>
    </row>
    <row r="27" ht="27.95" customHeight="1" spans="1:10" x14ac:dyDescent="0.25">
      <c r="A27" s="55" t="s">
        <v>60</v>
      </c>
      <c r="B27" s="56" t="s">
        <v>61</v>
      </c>
      <c r="C27" s="57">
        <v>50</v>
      </c>
      <c r="D27" s="58"/>
      <c r="E27" s="33">
        <f>29749+5639+1400</f>
        <v>36788</v>
      </c>
      <c r="F27" s="58"/>
      <c r="G27" s="34" t="s">
        <v>16</v>
      </c>
      <c r="H27" s="33">
        <f t="shared" si="0"/>
        <v>735.76</v>
      </c>
      <c r="I27" s="35">
        <v>130</v>
      </c>
      <c r="J27" s="36">
        <f>IFERROR(ROUND((+H27/I27),1),0)</f>
        <v>5.7</v>
      </c>
    </row>
    <row r="28" ht="27.95" customHeight="1" spans="1:10" x14ac:dyDescent="0.25">
      <c r="A28" s="55" t="s">
        <v>62</v>
      </c>
      <c r="B28" s="56" t="s">
        <v>63</v>
      </c>
      <c r="C28" s="57">
        <v>50</v>
      </c>
      <c r="D28" s="58"/>
      <c r="E28" s="47">
        <f>21061+50</f>
        <v>21111</v>
      </c>
      <c r="F28" s="58"/>
      <c r="G28" s="34" t="s">
        <v>16</v>
      </c>
      <c r="H28" s="33">
        <f t="shared" si="0"/>
        <v>422.22</v>
      </c>
      <c r="I28" s="35">
        <v>46</v>
      </c>
      <c r="J28" s="36">
        <f>IFERROR(ROUND((+H28/I28),1),0)</f>
        <v>9.2</v>
      </c>
    </row>
    <row r="29" ht="27.95" customHeight="1" spans="1:10" x14ac:dyDescent="0.25">
      <c r="A29" s="55" t="s">
        <v>64</v>
      </c>
      <c r="B29" s="56" t="s">
        <v>65</v>
      </c>
      <c r="C29" s="57">
        <v>50</v>
      </c>
      <c r="D29" s="58"/>
      <c r="E29" s="33">
        <v>6016</v>
      </c>
      <c r="F29" s="58"/>
      <c r="G29" s="34" t="s">
        <v>16</v>
      </c>
      <c r="H29" s="33">
        <f t="shared" si="0"/>
        <v>120.32</v>
      </c>
      <c r="I29" s="35">
        <v>80</v>
      </c>
      <c r="J29" s="36">
        <f>IFERROR(ROUND((+H29/I29),1),0)</f>
        <v>1.5</v>
      </c>
    </row>
    <row r="30" ht="27.95" customHeight="1" spans="1:10" x14ac:dyDescent="0.25">
      <c r="A30" s="50" t="s">
        <v>66</v>
      </c>
      <c r="B30" s="51" t="s">
        <v>67</v>
      </c>
      <c r="C30" s="52">
        <v>160</v>
      </c>
      <c r="D30" s="53"/>
      <c r="E30" s="23">
        <v>20526</v>
      </c>
      <c r="F30" s="53"/>
      <c r="G30" s="44" t="s">
        <v>31</v>
      </c>
      <c r="H30" s="23">
        <f t="shared" si="0"/>
        <v>128.2875</v>
      </c>
      <c r="I30" s="45">
        <v>15</v>
      </c>
      <c r="J30" s="46">
        <f>IFERROR(ROUND((+H30/I30),1),0)</f>
        <v>8.6</v>
      </c>
    </row>
    <row r="31" ht="27.95" customHeight="1" spans="1:10" x14ac:dyDescent="0.25">
      <c r="A31" s="55" t="s">
        <v>68</v>
      </c>
      <c r="B31" s="56" t="s">
        <v>69</v>
      </c>
      <c r="C31" s="57">
        <v>160</v>
      </c>
      <c r="D31" s="58"/>
      <c r="E31" s="33">
        <f>13480+4480+4480+4480</f>
        <v>26920</v>
      </c>
      <c r="F31" s="58"/>
      <c r="G31" s="34" t="s">
        <v>31</v>
      </c>
      <c r="H31" s="33">
        <f t="shared" si="0"/>
        <v>168.25</v>
      </c>
      <c r="I31" s="35">
        <v>24</v>
      </c>
      <c r="J31" s="36">
        <f>IFERROR(ROUND((+H31/I31),1),0)</f>
        <v>7</v>
      </c>
    </row>
    <row r="32" ht="27.95" customHeight="1" spans="1:10" x14ac:dyDescent="0.25">
      <c r="A32" s="55" t="s">
        <v>70</v>
      </c>
      <c r="B32" s="56" t="s">
        <v>71</v>
      </c>
      <c r="C32" s="57">
        <v>160</v>
      </c>
      <c r="D32" s="58"/>
      <c r="E32" s="33">
        <f>18648+4480</f>
        <v>23128</v>
      </c>
      <c r="F32" s="58"/>
      <c r="G32" s="34" t="s">
        <v>31</v>
      </c>
      <c r="H32" s="33">
        <f t="shared" si="0"/>
        <v>144.55</v>
      </c>
      <c r="I32" s="35">
        <v>21</v>
      </c>
      <c r="J32" s="36">
        <f>IFERROR(ROUND((+H32/I32),1),0)</f>
        <v>6.9</v>
      </c>
    </row>
    <row r="33" ht="27.95" customHeight="1" spans="1:10" x14ac:dyDescent="0.25">
      <c r="A33" s="55" t="s">
        <v>72</v>
      </c>
      <c r="B33" s="56" t="s">
        <v>73</v>
      </c>
      <c r="C33" s="57">
        <v>160</v>
      </c>
      <c r="D33" s="58"/>
      <c r="E33" s="39">
        <f>8451-160</f>
        <v>8291</v>
      </c>
      <c r="F33" s="58"/>
      <c r="G33" s="34" t="s">
        <v>31</v>
      </c>
      <c r="H33" s="33">
        <f t="shared" si="0"/>
        <v>51.81875</v>
      </c>
      <c r="I33" s="35">
        <v>15</v>
      </c>
      <c r="J33" s="36">
        <f>IFERROR(ROUND((+H33/I33),1),0)</f>
        <v>3.5</v>
      </c>
    </row>
    <row r="34" ht="27.95" customHeight="1" spans="1:10" x14ac:dyDescent="0.25">
      <c r="A34" s="50" t="s">
        <v>74</v>
      </c>
      <c r="B34" s="51" t="s">
        <v>75</v>
      </c>
      <c r="C34" s="52">
        <v>70</v>
      </c>
      <c r="D34" s="53"/>
      <c r="E34" s="23">
        <v>0</v>
      </c>
      <c r="F34" s="53"/>
      <c r="G34" s="44" t="s">
        <v>16</v>
      </c>
      <c r="H34" s="23">
        <f t="shared" si="0"/>
        <v>0</v>
      </c>
      <c r="I34" s="45">
        <v>0</v>
      </c>
      <c r="J34" s="46">
        <f>IFERROR(ROUND((+H34/I34),1),0)</f>
        <v>0</v>
      </c>
    </row>
    <row r="35" ht="27.95" customHeight="1" spans="1:10" x14ac:dyDescent="0.25">
      <c r="A35" s="55" t="s">
        <v>76</v>
      </c>
      <c r="B35" s="56" t="s">
        <v>77</v>
      </c>
      <c r="C35" s="57">
        <v>50</v>
      </c>
      <c r="D35" s="58"/>
      <c r="E35" s="33">
        <v>0</v>
      </c>
      <c r="F35" s="58"/>
      <c r="G35" s="34" t="s">
        <v>16</v>
      </c>
      <c r="H35" s="33">
        <f t="shared" si="0"/>
        <v>0</v>
      </c>
      <c r="I35" s="35">
        <v>1</v>
      </c>
      <c r="J35" s="36">
        <f>IFERROR(ROUND((+H35/I35),1),0)</f>
        <v>0</v>
      </c>
    </row>
    <row r="36" ht="27.95" customHeight="1" spans="1:10" x14ac:dyDescent="0.25">
      <c r="A36" s="55" t="s">
        <v>78</v>
      </c>
      <c r="B36" s="56" t="s">
        <v>79</v>
      </c>
      <c r="C36" s="57">
        <v>160</v>
      </c>
      <c r="D36" s="58"/>
      <c r="E36" s="33">
        <v>134</v>
      </c>
      <c r="F36" s="58"/>
      <c r="G36" s="34" t="s">
        <v>31</v>
      </c>
      <c r="H36" s="33">
        <f t="shared" si="0"/>
        <v>0.8375</v>
      </c>
      <c r="I36" s="35">
        <v>1</v>
      </c>
      <c r="J36" s="36">
        <f>IFERROR(ROUND((+H36/I36),1),0)</f>
        <v>0.8</v>
      </c>
    </row>
    <row r="37" ht="27.95" customHeight="1" spans="1:10" x14ac:dyDescent="0.25">
      <c r="A37" s="55" t="s">
        <v>80</v>
      </c>
      <c r="B37" s="56" t="s">
        <v>81</v>
      </c>
      <c r="C37" s="57">
        <v>160</v>
      </c>
      <c r="D37" s="58"/>
      <c r="E37" s="33">
        <v>0</v>
      </c>
      <c r="F37" s="58"/>
      <c r="G37" s="34" t="s">
        <v>31</v>
      </c>
      <c r="H37" s="33">
        <f>+E37/C37</f>
        <v>0</v>
      </c>
      <c r="I37" s="35">
        <v>0</v>
      </c>
      <c r="J37" s="36">
        <f>IFERROR(ROUND((+H37/I37),1),0)</f>
        <v>0</v>
      </c>
    </row>
    <row r="38" ht="27.95" customHeight="1" spans="1:10" x14ac:dyDescent="0.25">
      <c r="A38" s="59" t="s">
        <v>82</v>
      </c>
      <c r="B38" s="60" t="s">
        <v>83</v>
      </c>
      <c r="C38" s="61">
        <v>84</v>
      </c>
      <c r="D38" s="62"/>
      <c r="E38" s="63">
        <f>7188-1+2352</f>
        <v>9539</v>
      </c>
      <c r="F38" s="62"/>
      <c r="G38" s="64" t="s">
        <v>16</v>
      </c>
      <c r="H38" s="33">
        <f t="shared" si="0"/>
        <v>113.55952380952381</v>
      </c>
      <c r="I38" s="35">
        <v>0</v>
      </c>
      <c r="J38" s="36">
        <f>IFERROR(ROUND((+H38/I38),1),0)</f>
        <v>0</v>
      </c>
    </row>
    <row r="39" ht="27.95" customHeight="1" spans="1:10" x14ac:dyDescent="0.25">
      <c r="A39" s="59" t="s">
        <v>84</v>
      </c>
      <c r="B39" s="60" t="s">
        <v>85</v>
      </c>
      <c r="C39" s="61">
        <v>50</v>
      </c>
      <c r="D39" s="62"/>
      <c r="E39" s="65">
        <f>12062+1400</f>
        <v>13462</v>
      </c>
      <c r="F39" s="62"/>
      <c r="G39" s="64" t="s">
        <v>16</v>
      </c>
      <c r="H39" s="33">
        <f t="shared" si="0"/>
        <v>269.24</v>
      </c>
      <c r="I39" s="35">
        <v>14</v>
      </c>
      <c r="J39" s="36">
        <f>IFERROR(ROUND((+H39/I39),1),0)</f>
        <v>19.2</v>
      </c>
    </row>
    <row r="40" ht="27.95" customHeight="1" spans="1:10" x14ac:dyDescent="0.25">
      <c r="A40" s="59" t="s">
        <v>86</v>
      </c>
      <c r="B40" s="60" t="s">
        <v>87</v>
      </c>
      <c r="C40" s="61">
        <v>136</v>
      </c>
      <c r="D40" s="62"/>
      <c r="E40" s="63">
        <f>23278-1</f>
        <v>23277</v>
      </c>
      <c r="F40" s="62"/>
      <c r="G40" s="64" t="s">
        <v>16</v>
      </c>
      <c r="H40" s="33">
        <f t="shared" si="0"/>
        <v>171.15441176470588</v>
      </c>
      <c r="I40" s="35">
        <v>27</v>
      </c>
      <c r="J40" s="36">
        <f>IFERROR(ROUND((+H40/I40),1),0)</f>
        <v>6.3</v>
      </c>
    </row>
    <row r="41" ht="27.95" customHeight="1" spans="1:10" x14ac:dyDescent="0.25">
      <c r="A41" s="66" t="s">
        <v>88</v>
      </c>
      <c r="B41" s="67" t="s">
        <v>89</v>
      </c>
      <c r="C41" s="68">
        <v>160</v>
      </c>
      <c r="D41" s="69"/>
      <c r="E41" s="33">
        <v>5488</v>
      </c>
      <c r="F41" s="69"/>
      <c r="G41" s="70" t="s">
        <v>16</v>
      </c>
      <c r="H41" s="48">
        <f t="shared" si="0"/>
        <v>34.3</v>
      </c>
      <c r="I41" s="35">
        <v>2</v>
      </c>
      <c r="J41" s="36">
        <f>IFERROR(ROUND((+H41/I41),1),0)</f>
        <v>17.2</v>
      </c>
    </row>
    <row r="42" ht="27.95" customHeight="1" spans="1:10" x14ac:dyDescent="0.25">
      <c r="A42" s="66" t="s">
        <v>90</v>
      </c>
      <c r="B42" s="67" t="s">
        <v>91</v>
      </c>
      <c r="C42" s="68">
        <v>160</v>
      </c>
      <c r="D42" s="69"/>
      <c r="E42" s="48">
        <v>3663</v>
      </c>
      <c r="F42" s="69"/>
      <c r="G42" s="70" t="s">
        <v>16</v>
      </c>
      <c r="H42" s="48">
        <f>+E42/C42</f>
        <v>22.89375</v>
      </c>
      <c r="I42" s="35">
        <v>0</v>
      </c>
      <c r="J42" s="36">
        <f>IFERROR(ROUND((+H42/I42),1),0)</f>
        <v>0</v>
      </c>
    </row>
    <row r="43" ht="27.95" customHeight="1" spans="1:10" x14ac:dyDescent="0.25">
      <c r="A43" s="71" t="s">
        <v>92</v>
      </c>
      <c r="B43" s="72" t="s">
        <v>93</v>
      </c>
      <c r="C43" s="73">
        <v>160</v>
      </c>
      <c r="D43" s="74"/>
      <c r="E43" s="75">
        <v>0</v>
      </c>
      <c r="F43" s="74"/>
      <c r="G43" s="76" t="s">
        <v>16</v>
      </c>
      <c r="H43" s="77">
        <f>+E43/C43</f>
        <v>0</v>
      </c>
      <c r="I43" s="78">
        <v>0</v>
      </c>
      <c r="J43" s="79">
        <f>IFERROR(ROUND((+H43/I43),1),0)</f>
        <v>0</v>
      </c>
    </row>
    <row r="44" ht="3.95" customHeight="1" spans="1:8" x14ac:dyDescent="0.25">
      <c r="A44" s="80"/>
      <c r="B44" s="80"/>
      <c r="E44" s="28"/>
      <c r="F44" s="28"/>
      <c r="G44" s="28"/>
      <c r="H44" s="81"/>
    </row>
    <row r="45" ht="26.25" customHeight="1" spans="1:8" x14ac:dyDescent="0.25">
      <c r="A45" s="82"/>
      <c r="B45" s="82"/>
      <c r="C45" s="82"/>
      <c r="D45" s="82"/>
      <c r="E45" s="83">
        <f>SUM(E5:E44)</f>
        <v>465058</v>
      </c>
      <c r="F45" s="82"/>
      <c r="G45" s="82"/>
      <c r="H45" s="84">
        <f>SUM(H5:H44)</f>
        <v>5380.621852240898</v>
      </c>
    </row>
    <row r="46" ht="15" customHeight="1" spans="1:8" x14ac:dyDescent="0.25">
      <c r="A46" s="80"/>
      <c r="B46" s="80"/>
      <c r="E46" s="28"/>
      <c r="F46" s="28"/>
      <c r="G46" s="28"/>
      <c r="H46" s="81"/>
    </row>
    <row r="47" ht="21" customHeight="1" spans="1:8" x14ac:dyDescent="0.25">
      <c r="A47" s="80"/>
      <c r="B47" s="80"/>
      <c r="E47" s="28"/>
      <c r="F47" s="28"/>
      <c r="G47" s="28"/>
      <c r="H47" s="81"/>
    </row>
    <row r="48" ht="21" customHeight="1" spans="5:8" x14ac:dyDescent="0.25">
      <c r="E48" s="28"/>
      <c r="F48" s="28"/>
      <c r="G48" s="28"/>
      <c r="H48" s="81"/>
    </row>
    <row r="49" ht="21" customHeight="1" spans="5:8" x14ac:dyDescent="0.25">
      <c r="E49" s="28"/>
      <c r="F49" s="28"/>
      <c r="G49" s="28"/>
      <c r="H49" s="81"/>
    </row>
    <row r="50" ht="21" customHeight="1" spans="5:8" x14ac:dyDescent="0.25">
      <c r="E50" s="28"/>
      <c r="F50" s="28"/>
      <c r="G50" s="28"/>
      <c r="H50" s="81"/>
    </row>
    <row r="51" ht="21" customHeight="1" spans="5:8" x14ac:dyDescent="0.25">
      <c r="E51" s="28"/>
      <c r="F51" s="28"/>
      <c r="G51" s="28"/>
      <c r="H51" s="81"/>
    </row>
    <row r="52" ht="21" customHeight="1" spans="5:8" x14ac:dyDescent="0.25">
      <c r="E52" s="28"/>
      <c r="F52" s="28"/>
      <c r="G52" s="28"/>
      <c r="H52" s="81"/>
    </row>
    <row r="53" ht="21" customHeight="1" spans="5:8" x14ac:dyDescent="0.25">
      <c r="E53" s="28"/>
      <c r="F53" s="28"/>
      <c r="G53" s="28"/>
      <c r="H53" s="81"/>
    </row>
    <row r="54" ht="21" customHeight="1" spans="5:8" x14ac:dyDescent="0.25">
      <c r="E54" s="28"/>
      <c r="F54" s="28"/>
      <c r="G54" s="28"/>
      <c r="H54" s="81"/>
    </row>
    <row r="55" ht="21" customHeight="1" spans="5:8" x14ac:dyDescent="0.25">
      <c r="E55" s="28"/>
      <c r="F55" s="28"/>
      <c r="G55" s="28"/>
      <c r="H55" s="81"/>
    </row>
    <row r="56" ht="21" customHeight="1" spans="5:8" x14ac:dyDescent="0.25">
      <c r="E56" s="28"/>
      <c r="F56" s="28"/>
      <c r="G56" s="28"/>
      <c r="H56" s="81"/>
    </row>
    <row r="57" ht="21" customHeight="1" spans="5:8" x14ac:dyDescent="0.25">
      <c r="E57" s="85"/>
      <c r="F57" s="28"/>
      <c r="G57" s="28"/>
      <c r="H57" s="81"/>
    </row>
    <row r="58" ht="21" customHeight="1" spans="5:8" x14ac:dyDescent="0.25">
      <c r="E58" s="28"/>
      <c r="F58" s="28"/>
      <c r="G58" s="28"/>
      <c r="H58" s="81"/>
    </row>
    <row r="59" ht="21" customHeight="1" spans="5:8" x14ac:dyDescent="0.25">
      <c r="E59" s="85"/>
      <c r="F59" s="28"/>
      <c r="G59" s="28"/>
      <c r="H59" s="81"/>
    </row>
    <row r="60" ht="21" customHeight="1" spans="5:8" x14ac:dyDescent="0.25">
      <c r="E60" s="28"/>
      <c r="F60" s="28"/>
      <c r="G60" s="28"/>
      <c r="H60" s="81"/>
    </row>
    <row r="61" ht="21" customHeight="1" spans="5:8" x14ac:dyDescent="0.25">
      <c r="E61" s="85"/>
      <c r="F61" s="28"/>
      <c r="G61" s="28"/>
      <c r="H61" s="81"/>
    </row>
    <row r="62" ht="21" customHeight="1" spans="5:8" x14ac:dyDescent="0.25">
      <c r="E62" s="28"/>
      <c r="F62" s="28"/>
      <c r="G62" s="28"/>
      <c r="H62" s="81"/>
    </row>
    <row r="63" ht="21" customHeight="1" spans="5:8" x14ac:dyDescent="0.25">
      <c r="E63" s="85"/>
      <c r="F63" s="28"/>
      <c r="G63" s="28"/>
      <c r="H63" s="81"/>
    </row>
    <row r="64" ht="21" customHeight="1" spans="5:8" x14ac:dyDescent="0.25">
      <c r="E64" s="85"/>
      <c r="F64" s="28"/>
      <c r="G64" s="28"/>
      <c r="H64" s="81"/>
    </row>
    <row r="65" ht="21" customHeight="1" spans="5:8" x14ac:dyDescent="0.25">
      <c r="E65" s="85"/>
      <c r="H65" s="81"/>
    </row>
    <row r="66" ht="21" customHeight="1" spans="5:8" x14ac:dyDescent="0.25">
      <c r="E66" s="85"/>
      <c r="H66" s="81"/>
    </row>
    <row r="67" ht="21" customHeight="1" spans="5:8" x14ac:dyDescent="0.25">
      <c r="E67" s="85"/>
      <c r="H67" s="81"/>
    </row>
    <row r="68" ht="21" customHeight="1" spans="5:8" x14ac:dyDescent="0.25">
      <c r="E68" s="85"/>
      <c r="H68" s="81"/>
    </row>
    <row r="69" ht="21" customHeight="1" spans="5:8" x14ac:dyDescent="0.25">
      <c r="E69" s="85"/>
      <c r="H69" s="81"/>
    </row>
    <row r="70" ht="21" customHeight="1" spans="5:8" x14ac:dyDescent="0.25">
      <c r="E70" s="85"/>
      <c r="H70" s="81"/>
    </row>
    <row r="72" spans="5:5" x14ac:dyDescent="0.25">
      <c r="E72" s="28"/>
    </row>
    <row r="75" spans="7:7" x14ac:dyDescent="0.25">
      <c r="G75" s="86"/>
    </row>
  </sheetData>
  <conditionalFormatting sqref="D1">
    <cfRule type="cellIs" dxfId="0" priority="70" operator="equal">
      <formula>0</formula>
    </cfRule>
  </conditionalFormatting>
  <conditionalFormatting sqref="D2">
    <cfRule type="cellIs" dxfId="1" priority="69" operator="equal">
      <formula>0</formula>
    </cfRule>
  </conditionalFormatting>
  <conditionalFormatting sqref="H5">
    <cfRule type="cellIs" dxfId="2" priority="80" operator="lessThan">
      <formula>1000</formula>
    </cfRule>
    <cfRule type="cellIs" dxfId="3" priority="81" operator="greaterThan">
      <formula>1500</formula>
    </cfRule>
  </conditionalFormatting>
  <conditionalFormatting sqref="H6">
    <cfRule type="cellIs" dxfId="4" priority="78" operator="lessThan">
      <formula>300</formula>
    </cfRule>
    <cfRule type="cellIs" dxfId="5" priority="79" operator="greaterThan">
      <formula>500</formula>
    </cfRule>
  </conditionalFormatting>
  <conditionalFormatting sqref="H7">
    <cfRule type="cellIs" dxfId="6" priority="76" operator="lessThan">
      <formula>500</formula>
    </cfRule>
    <cfRule type="cellIs" dxfId="7" priority="77" operator="greaterThan">
      <formula>800</formula>
    </cfRule>
  </conditionalFormatting>
  <conditionalFormatting sqref="H8:H9">
    <cfRule type="cellIs" dxfId="8" priority="71" operator="lessThan">
      <formula>200</formula>
    </cfRule>
    <cfRule type="cellIs" dxfId="9" priority="72" operator="greaterThan">
      <formula>300</formula>
    </cfRule>
  </conditionalFormatting>
  <conditionalFormatting sqref="H10">
    <cfRule type="cellIs" dxfId="10" priority="67" operator="lessThan">
      <formula>500</formula>
    </cfRule>
    <cfRule type="cellIs" dxfId="11" priority="68" operator="greaterThan">
      <formula>800</formula>
    </cfRule>
  </conditionalFormatting>
  <conditionalFormatting sqref="H11">
    <cfRule type="cellIs" dxfId="12" priority="65" operator="lessThan">
      <formula>10</formula>
    </cfRule>
    <cfRule type="cellIs" dxfId="13" priority="66" operator="greaterThan">
      <formula>80</formula>
    </cfRule>
  </conditionalFormatting>
  <conditionalFormatting sqref="H12">
    <cfRule type="cellIs" dxfId="14" priority="63" operator="lessThan">
      <formula>200</formula>
    </cfRule>
    <cfRule type="cellIs" dxfId="15" priority="64" operator="greaterThan">
      <formula>300</formula>
    </cfRule>
  </conditionalFormatting>
  <conditionalFormatting sqref="H13">
    <cfRule type="cellIs" dxfId="16" priority="61" operator="lessThan">
      <formula>50</formula>
    </cfRule>
    <cfRule type="cellIs" dxfId="17" priority="62" operator="greaterThan">
      <formula>100</formula>
    </cfRule>
  </conditionalFormatting>
  <conditionalFormatting sqref="H14">
    <cfRule type="cellIs" dxfId="18" priority="59" operator="lessThan">
      <formula>400</formula>
    </cfRule>
    <cfRule type="cellIs" dxfId="19" priority="60" operator="greaterThan">
      <formula>1300</formula>
    </cfRule>
  </conditionalFormatting>
  <conditionalFormatting sqref="H15:H17">
    <cfRule type="cellIs" dxfId="20" priority="55" operator="lessThan">
      <formula>200</formula>
    </cfRule>
    <cfRule type="cellIs" dxfId="21" priority="56" operator="greaterThan">
      <formula>400</formula>
    </cfRule>
  </conditionalFormatting>
  <conditionalFormatting sqref="H18:H19">
    <cfRule type="cellIs" dxfId="22" priority="49" operator="lessThan">
      <formula>200</formula>
    </cfRule>
    <cfRule type="cellIs" dxfId="23" priority="50" operator="greaterThan">
      <formula>400</formula>
    </cfRule>
  </conditionalFormatting>
  <conditionalFormatting sqref="H20">
    <cfRule type="cellIs" dxfId="24" priority="51" operator="lessThan">
      <formula>0</formula>
    </cfRule>
    <cfRule type="cellIs" dxfId="25" priority="52" operator="equal">
      <formula>0</formula>
    </cfRule>
  </conditionalFormatting>
  <conditionalFormatting sqref="H21">
    <cfRule type="cellIs" dxfId="26" priority="47" operator="lessThan">
      <formula>100</formula>
    </cfRule>
    <cfRule type="cellIs" dxfId="27" priority="48" operator="greaterThan">
      <formula>250</formula>
    </cfRule>
  </conditionalFormatting>
  <conditionalFormatting sqref="H22:H23">
    <cfRule type="cellIs" dxfId="28" priority="43" operator="lessThan">
      <formula>50</formula>
    </cfRule>
    <cfRule type="cellIs" dxfId="29" priority="44" operator="greaterThan">
      <formula>150</formula>
    </cfRule>
  </conditionalFormatting>
  <conditionalFormatting sqref="H24">
    <cfRule type="cellIs" dxfId="30" priority="41" operator="lessThan">
      <formula>50</formula>
    </cfRule>
    <cfRule type="cellIs" dxfId="31" priority="42" operator="greaterThan">
      <formula>150</formula>
    </cfRule>
  </conditionalFormatting>
  <conditionalFormatting sqref="H25">
    <cfRule type="cellIs" dxfId="32" priority="37" operator="lessThan">
      <formula>5</formula>
    </cfRule>
    <cfRule type="cellIs" dxfId="33" priority="38" operator="greaterThan">
      <formula>50</formula>
    </cfRule>
  </conditionalFormatting>
  <conditionalFormatting sqref="H26:H27">
    <cfRule type="cellIs" dxfId="34" priority="33" operator="lessThan">
      <formula>500</formula>
    </cfRule>
    <cfRule type="cellIs" dxfId="35" priority="34" operator="greaterThan">
      <formula>1500</formula>
    </cfRule>
  </conditionalFormatting>
  <conditionalFormatting sqref="H28:H29">
    <cfRule type="cellIs" dxfId="36" priority="7" operator="lessThan">
      <formula>500</formula>
    </cfRule>
  </conditionalFormatting>
  <conditionalFormatting sqref="H28">
    <cfRule type="cellIs" dxfId="37" priority="32" operator="greaterThan">
      <formula>1500</formula>
    </cfRule>
  </conditionalFormatting>
  <conditionalFormatting sqref="H29">
    <cfRule type="cellIs" dxfId="38" priority="28" operator="greaterThan">
      <formula>800</formula>
    </cfRule>
  </conditionalFormatting>
  <conditionalFormatting sqref="H30:H33">
    <cfRule type="cellIs" dxfId="39" priority="12" operator="lessThan">
      <formula>500</formula>
    </cfRule>
    <cfRule type="cellIs" dxfId="40" priority="13" operator="greaterThan">
      <formula>800</formula>
    </cfRule>
  </conditionalFormatting>
  <conditionalFormatting sqref="H34:H35 H38:H43">
    <cfRule type="cellIs" dxfId="41" priority="25" operator="lessThan">
      <formula>200</formula>
    </cfRule>
    <cfRule type="cellIs" dxfId="42" priority="26" operator="greaterThan">
      <formula>600</formula>
    </cfRule>
  </conditionalFormatting>
  <conditionalFormatting sqref="H36:H37">
    <cfRule type="cellIs" dxfId="43" priority="5" operator="lessThan">
      <formula>500</formula>
    </cfRule>
    <cfRule type="cellIs" dxfId="44" priority="6" operator="greaterThan">
      <formula>800</formula>
    </cfRule>
  </conditionalFormatting>
  <conditionalFormatting sqref="J5:J43">
    <cfRule type="cellIs" dxfId="45" priority="1" operator="greaterThan">
      <formula>4</formula>
    </cfRule>
    <cfRule type="cellIs" dxfId="46" priority="3" operator="lessThan">
      <formula>4</formula>
    </cfRule>
  </conditionalFormatting>
  <pageMargins left="0" right="0" top="0.5905511811023623" bottom="0" header="0" footer="0"/>
  <pageSetup orientation="portrait" horizontalDpi="4294967293" verticalDpi="4294967295" scale="51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Existencia Sistema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agdalys.a</dc:creator>
  <cp:lastModifiedBy>Yonny Hernandez</cp:lastModifiedBy>
  <cp:lastPrinted>2026-09-26T14:39:53Z</cp:lastPrinted>
  <dcterms:created xsi:type="dcterms:W3CDTF">2014-09-02T11:57:04Z</dcterms:created>
  <dcterms:modified xsi:type="dcterms:W3CDTF">2026-09-26T15:34:06Z</dcterms:modified>
</cp:coreProperties>
</file>