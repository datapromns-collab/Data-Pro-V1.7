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8" name="Existencia Sistema" state="visible" r:id="rId4"/>
    <sheet sheetId="29" name="Existencia Sistemaac" state="visible" r:id="rId5"/>
  </sheets>
  <definedNames>
    <definedName name="_xlnm.Print_Area" localSheetId="0">'Existencia Sistema'!$A1:$J46</definedName>
    <definedName name="_xlnm.Print_Area" localSheetId="1">'Existencia Sistemaac'!$A1:$AN95</definedName>
  </definedNames>
  <calcPr calcId="171027"/>
</workbook>
</file>

<file path=xl/sharedStrings.xml><?xml version="1.0" encoding="utf-8"?>
<sst xmlns="http://schemas.openxmlformats.org/spreadsheetml/2006/main" count="660" uniqueCount="277">
  <si>
    <t>MULTINACIONAL DE SABORES C.A.</t>
  </si>
  <si>
    <t>PRODUCIR</t>
  </si>
  <si>
    <t>EXISTENCIA  FISICA MULTINACIONAL</t>
  </si>
  <si>
    <t>NO PRODUCIR</t>
  </si>
  <si>
    <t>Almacenes consolidados: NoAlmacén: Principal</t>
  </si>
  <si>
    <t>POR DECISION</t>
  </si>
  <si>
    <t>Artículo</t>
  </si>
  <si>
    <t>Denominación</t>
  </si>
  <si>
    <t>Cajas / Paleta</t>
  </si>
  <si>
    <t>Stock</t>
  </si>
  <si>
    <t>UND</t>
  </si>
  <si>
    <t>PALETAS</t>
  </si>
  <si>
    <t>CONSUMO PROM PALETAS X DIA</t>
  </si>
  <si>
    <t>DIAS INVENTARIO PARA CONSUMO</t>
  </si>
  <si>
    <t>PRODT-0007</t>
  </si>
  <si>
    <t xml:space="preserve">GLUP! COLA NEGRA 6X2000ML </t>
  </si>
  <si>
    <t xml:space="preserve">CJ </t>
  </si>
  <si>
    <t>PRODT-0008</t>
  </si>
  <si>
    <t xml:space="preserve">GLUP! UVA 6X2000ML </t>
  </si>
  <si>
    <t>PRODT-0009</t>
  </si>
  <si>
    <t xml:space="preserve">GLUP! KOLITA 6X2000ML </t>
  </si>
  <si>
    <t>PRODT-0010</t>
  </si>
  <si>
    <t xml:space="preserve">GLUP! PIÑA 6X2000ML </t>
  </si>
  <si>
    <t>PRODT-0011</t>
  </si>
  <si>
    <t xml:space="preserve">GLUP! NARANJA 6X2000ML </t>
  </si>
  <si>
    <t>PRODT-0012</t>
  </si>
  <si>
    <t xml:space="preserve">GLUP! FRESH 6X2000ML </t>
  </si>
  <si>
    <t>PRODT-0049</t>
  </si>
  <si>
    <t>GLUP! MANZANA VERDE CAJA X 6BOT X 2LTS</t>
  </si>
  <si>
    <t>PRODT-0097</t>
  </si>
  <si>
    <t>GLUP! MANZANA ROJA CAJA X 6BOT X 2.0LTS</t>
  </si>
  <si>
    <t>CJ</t>
  </si>
  <si>
    <t>PRODT-0098</t>
  </si>
  <si>
    <t>GLUP! PIÑA PARCHITA CAJA X 6BOT X 2.0LTS</t>
  </si>
  <si>
    <t>PRODT-0082</t>
  </si>
  <si>
    <t>GLUP! COLA NEGRA CAJA X 12BOT X 1LTS</t>
  </si>
  <si>
    <t>PRODT-0084</t>
  </si>
  <si>
    <t>GLUP! UVA  CAJA X 12BOT X 1.0LTS</t>
  </si>
  <si>
    <t>PRODT-0086</t>
  </si>
  <si>
    <t>GLUP! FRESH CAJA X 12BOT X 1.0LTS</t>
  </si>
  <si>
    <t>PRODT-0088</t>
  </si>
  <si>
    <t>GLUP! KOLITA  CAJA X 12BOT X 1.0LTS</t>
  </si>
  <si>
    <t>PRODT-0104</t>
  </si>
  <si>
    <t>GLUP! PIÑA CAJA X 12BOT X 1.0LTS</t>
  </si>
  <si>
    <t>PRODT-0105</t>
  </si>
  <si>
    <t>GLUP! NARANJA CAJA X 12BOT X 1.0LTS</t>
  </si>
  <si>
    <t>PRODT-0107</t>
  </si>
  <si>
    <t>GLUP! MANZANA ROJA CAJA X 12BOT X 1.0LTS</t>
  </si>
  <si>
    <t>PRODT-0092</t>
  </si>
  <si>
    <t>GLUP! COLA NEGRA CAJA X 15 BOT X 0.400LTS</t>
  </si>
  <si>
    <t>PRODT-0093</t>
  </si>
  <si>
    <t>GLUP! UVA  CAJA X 15BOT X 0.400LTS</t>
  </si>
  <si>
    <t>PRODT-0094</t>
  </si>
  <si>
    <t>GLUP! KOLITA  CAJA X 15BOT X 0.400LTS</t>
  </si>
  <si>
    <t>PRODT-0095</t>
  </si>
  <si>
    <t>GLUP! FRESH CAJA X 15BOT X 0.400LTS</t>
  </si>
  <si>
    <t>PRODT-0111</t>
  </si>
  <si>
    <t>GLUP! MANZANA ROJA CAJA X 15BOT X 0.400LTS</t>
  </si>
  <si>
    <t>PRODT-0014</t>
  </si>
  <si>
    <t xml:space="preserve">JUSTY NARANJA 1,5 LTRS                            </t>
  </si>
  <si>
    <t>PRODT-0100</t>
  </si>
  <si>
    <t>JUSTY DURAZNO CAJA X 12BOT X 1.5LTS</t>
  </si>
  <si>
    <t>PRODT-0115</t>
  </si>
  <si>
    <t>JUSTY PERA CAJA X 12BOT X 1.5LTS</t>
  </si>
  <si>
    <t>PRODT-0116</t>
  </si>
  <si>
    <t>JUSTY MANZANA CAJA X 12BOT X 1.5LTS</t>
  </si>
  <si>
    <t>PRODT-0123</t>
  </si>
  <si>
    <t>JUSTY NARANJA CAJA X 15BOT X 0.400LTS</t>
  </si>
  <si>
    <t>PRODT-0124</t>
  </si>
  <si>
    <t>JUSTY DURAZNO CAJA X 15BOT X 0.400LTS</t>
  </si>
  <si>
    <t>PRODT-0125</t>
  </si>
  <si>
    <t>JUSTY MANZANA CAJA X 15BOT X 0.400LTS</t>
  </si>
  <si>
    <t>PRODT-0126</t>
  </si>
  <si>
    <t>JUSTY PERA CAJA X 15BOT X 0.400LTS</t>
  </si>
  <si>
    <t>PRODT-0025</t>
  </si>
  <si>
    <t>VITA TEA LIMON 1,5 LT</t>
  </si>
  <si>
    <t>PRODT-0026</t>
  </si>
  <si>
    <t>VITA TEA DURAZNO 1,5 LT</t>
  </si>
  <si>
    <t>PRODT-0127</t>
  </si>
  <si>
    <t>VITA TEA DURAZNO CAJA X15 BOT X 0,400 LTS</t>
  </si>
  <si>
    <t>PRODT-0128</t>
  </si>
  <si>
    <t>VITA TEA LIMON CAJ X 15BOT X 0,400 LTS</t>
  </si>
  <si>
    <t>PRODT-0113</t>
  </si>
  <si>
    <t>AGUA BONAO  CAJA X 20BOT X 0.600LTS</t>
  </si>
  <si>
    <t>PRODT-0112</t>
  </si>
  <si>
    <t>AGUA BONAO  CAJA X 12BOT X 1,5LTS</t>
  </si>
  <si>
    <t>PRODT-0114</t>
  </si>
  <si>
    <t>AGUA BONAO CAJA X 20BOT X 0.355LTS</t>
  </si>
  <si>
    <t>PRODT-0120</t>
  </si>
  <si>
    <t>POWER X SABOR ORIGINAL CAJA X 15BOT X 0.400LTS</t>
  </si>
  <si>
    <t>PRODT-0121</t>
  </si>
  <si>
    <t>POWER X SABOR CAFE CAJA X 15BOT X 0.400LTS</t>
  </si>
  <si>
    <t>PRODT-0122</t>
  </si>
  <si>
    <t>POWER X SABOR NARANJA CAJA X 15BOT X 0.400LTS</t>
  </si>
  <si>
    <t>Área: PRINCIPAL</t>
  </si>
  <si>
    <t>Del almacén: 100</t>
  </si>
  <si>
    <t>Artículo: &lt;Todos&gt;</t>
  </si>
  <si>
    <t>Denominación: &lt;Todos&gt;</t>
  </si>
  <si>
    <t>Tipo: 70</t>
  </si>
  <si>
    <t>Clase: &lt;Todos&gt;</t>
  </si>
  <si>
    <t>Grupo: &lt;Todos&gt;</t>
  </si>
  <si>
    <t>Familia: &lt;Todos&gt;</t>
  </si>
  <si>
    <t>Limitar disponible: No</t>
  </si>
  <si>
    <t>Considerar únicamente MP y subcontratación: No</t>
  </si>
  <si>
    <t>ACUMULADO  PLASTIMAX, C.A.</t>
  </si>
  <si>
    <t>SAP</t>
  </si>
  <si>
    <t>dif FISICO</t>
  </si>
  <si>
    <t>PLASTIMAX, C.A. DEL DIA ACTUAL</t>
  </si>
  <si>
    <t>PRODT-0001</t>
  </si>
  <si>
    <t xml:space="preserve">GLUP! COLA NEGRA 12X1500ML </t>
  </si>
  <si>
    <t>PRODT-0002</t>
  </si>
  <si>
    <t xml:space="preserve">GLUP! UVA 12X1500ML </t>
  </si>
  <si>
    <t>PRODT-0003</t>
  </si>
  <si>
    <t xml:space="preserve">GLUP! KOLITA 12X1500ML </t>
  </si>
  <si>
    <t>PRODT-0004</t>
  </si>
  <si>
    <t xml:space="preserve">GLUP! PIÑA 12X1500ML </t>
  </si>
  <si>
    <t>PRODT-0005</t>
  </si>
  <si>
    <t xml:space="preserve">GLUP! NARANJA 12X1500ML </t>
  </si>
  <si>
    <t>PRODT-0006</t>
  </si>
  <si>
    <t xml:space="preserve">GLUP! FRESH 12X1500ML </t>
  </si>
  <si>
    <t>PRODT-0039</t>
  </si>
  <si>
    <t>GLUP! COLA NEGRA CAJA X 6BOT X 1.5LTS</t>
  </si>
  <si>
    <t>PRODT-0045</t>
  </si>
  <si>
    <t>GLUP! PONCHE DE FRUTAS CAJA X 12BOT X 1.5LTS</t>
  </si>
  <si>
    <t>PRODT-0046</t>
  </si>
  <si>
    <t>GLUP! MANZANA VERDE CAJA X 12BOT X 1.5LTS</t>
  </si>
  <si>
    <t>PRODT-0047</t>
  </si>
  <si>
    <t>GLUP! CHICLE BOMBA CAJA X 12BOT X 1.5LTS</t>
  </si>
  <si>
    <t>GLUP! COLA NEGRA  CAJA X 6BOT X 2.0LTS</t>
  </si>
  <si>
    <t>CAJA</t>
  </si>
  <si>
    <t>USD 1,680</t>
  </si>
  <si>
    <t>USD 173.202,960</t>
  </si>
  <si>
    <t>ACTUALIZADO    SEPTIEMBRE  2026</t>
  </si>
  <si>
    <t>GLUP! UVA  CAJA X 6BOT X 2.0LTS</t>
  </si>
  <si>
    <t>USD 23.047,920</t>
  </si>
  <si>
    <t>GLUP! KOLITA  CAJA X 6BOT X 2.0LTS</t>
  </si>
  <si>
    <t>USD 14.960,400</t>
  </si>
  <si>
    <t>GLUP! PIÑA  CAJA X 6BOT X 2.0LTS</t>
  </si>
  <si>
    <t>USD 41.914,320</t>
  </si>
  <si>
    <t>GLUP! FRESH  CAJA X 6BOT X 2.0LTS</t>
  </si>
  <si>
    <t>USD 880,320</t>
  </si>
  <si>
    <t>JUSTY NARANJA CAJA X 12BOT X 1.5LTS</t>
  </si>
  <si>
    <t>USD 2,500</t>
  </si>
  <si>
    <t>USD 117.322,500</t>
  </si>
  <si>
    <t>PRODT-0048</t>
  </si>
  <si>
    <t>GLUP! PONCHE DE FRUTAS CAJA X 6BOT X 2LTS</t>
  </si>
  <si>
    <t>GLUP! MANZANA VERDE CAJA X 6BOT X 2.0 LTS</t>
  </si>
  <si>
    <t>USD 2,240</t>
  </si>
  <si>
    <t>USD 57.626,240</t>
  </si>
  <si>
    <t>PRODT-0050</t>
  </si>
  <si>
    <t>GLUP! CHICLE BOMBA CAJA X 6BOT X 2LTS</t>
  </si>
  <si>
    <t>USD 2.293,760</t>
  </si>
  <si>
    <t>USD 112,000</t>
  </si>
  <si>
    <t>USD 27.039,040</t>
  </si>
  <si>
    <t>USD 1,480</t>
  </si>
  <si>
    <t>USD 905,760</t>
  </si>
  <si>
    <t>USD 7.044,800</t>
  </si>
  <si>
    <t>USD 993,080</t>
  </si>
  <si>
    <t>USD 233,840</t>
  </si>
  <si>
    <t>PRODT-0090</t>
  </si>
  <si>
    <t>GLUP! MANZANA VERDE CAJA X 12BOT X 1.0LTS</t>
  </si>
  <si>
    <t>PRODT-0106</t>
  </si>
  <si>
    <t>GLUP! PIÑA PARCHITA CAJA X 12BOT X 1.0LTS</t>
  </si>
  <si>
    <t>USD 12.237,120</t>
  </si>
  <si>
    <t>Total: 03</t>
  </si>
  <si>
    <t>USD 487.832,70</t>
  </si>
  <si>
    <t>PRODT-0096</t>
  </si>
  <si>
    <t>GLUP! MANZANA VERDE CAJA X 15BOT X 0.400LTS</t>
  </si>
  <si>
    <t>PRODT-0108</t>
  </si>
  <si>
    <t>GLUP! PIÑA CAJA X 15BOT X 0.400LTS</t>
  </si>
  <si>
    <t>PRODT-0109</t>
  </si>
  <si>
    <t>GLUP! NARANJA CAJA X 15BOT X 0.400LTS</t>
  </si>
  <si>
    <t>PRODT-0110</t>
  </si>
  <si>
    <t>GLUP! PIÑA PARCHITA CAJA X 15BOT X 0.400LTS</t>
  </si>
  <si>
    <t>PRODT-0022</t>
  </si>
  <si>
    <t xml:space="preserve">GLUP! NARANJA 24X300ML </t>
  </si>
  <si>
    <t>PRODT-0024</t>
  </si>
  <si>
    <t xml:space="preserve">GLUP! FRESH 24X300ML </t>
  </si>
  <si>
    <t>PRODT-0030</t>
  </si>
  <si>
    <t xml:space="preserve">GLUP! COLA NEGRA 24X300ML </t>
  </si>
  <si>
    <t>PRODT-0031</t>
  </si>
  <si>
    <t xml:space="preserve">GLUP! UVA 24X300ML </t>
  </si>
  <si>
    <t>PRODT-0032</t>
  </si>
  <si>
    <t xml:space="preserve">GLUP! KOLITA 24X300ML </t>
  </si>
  <si>
    <t>PRODT-0033</t>
  </si>
  <si>
    <t xml:space="preserve">GLUP! PIÑA 24X300ML </t>
  </si>
  <si>
    <t>PRODT-0017</t>
  </si>
  <si>
    <t>AGUA FRESHQUA 1,5L</t>
  </si>
  <si>
    <t>PRODT-0018</t>
  </si>
  <si>
    <t xml:space="preserve">AGUA MINERAL FRESHQUA 355 ML   </t>
  </si>
  <si>
    <t>PRODT-0019</t>
  </si>
  <si>
    <t xml:space="preserve">AGUA MINERAL FRESHQUA 600 ML        </t>
  </si>
  <si>
    <t>PRODT-0013</t>
  </si>
  <si>
    <t xml:space="preserve">JUSTY MANGO DURAZNO 1,5 LTRS       </t>
  </si>
  <si>
    <t>PRODT-0101</t>
  </si>
  <si>
    <t>JUSTY SANDIA CAJA X 12BOT X 1.5LTS</t>
  </si>
  <si>
    <t>PRODT-0102</t>
  </si>
  <si>
    <t>JUSTY MANDARINA CAJA X 12BOT X 1.5LTS</t>
  </si>
  <si>
    <t>NO Producir</t>
  </si>
  <si>
    <t>PRODT-0103</t>
  </si>
  <si>
    <t>JUSTY TAMARINDO CAJA X 12BOT X 1.5LTS</t>
  </si>
  <si>
    <t>PRODT-0015</t>
  </si>
  <si>
    <t xml:space="preserve">JUSTY FRUTAS ROJAS 1,5 LTRS    </t>
  </si>
  <si>
    <t>PRODT-0016</t>
  </si>
  <si>
    <t xml:space="preserve">JUSTY FRUTAS ROJAS 355 ML </t>
  </si>
  <si>
    <t>PRODT-0020</t>
  </si>
  <si>
    <t xml:space="preserve">JUSTY MANGO DURAZNO 355 ML                        </t>
  </si>
  <si>
    <t>PRODT-0021</t>
  </si>
  <si>
    <t xml:space="preserve">JUSTY NARANJA 355 ML            </t>
  </si>
  <si>
    <t>PRODT-0117</t>
  </si>
  <si>
    <t>POWER X SABOR ORIGINAL CAJA X 12BOT X 1LTS</t>
  </si>
  <si>
    <t>PRODT-0118</t>
  </si>
  <si>
    <t>POWER X SABOR CAFE CAJA X 12BOT X 1LTS</t>
  </si>
  <si>
    <t>PRODT-0119</t>
  </si>
  <si>
    <t>POWER X SABOR NARANJA CAJA X 12BOT X 1LTS</t>
  </si>
  <si>
    <t>PRODT-0041</t>
  </si>
  <si>
    <t>VITA TEA  (LIMÓN)  CAJA X 24 BOT X 0.355LTS</t>
  </si>
  <si>
    <t>PRODT-0042</t>
  </si>
  <si>
    <t>VITA TEA  (DURAZNO)  CAJA X 24 BOT X 0.355LTS</t>
  </si>
  <si>
    <t>Número de artículo</t>
  </si>
  <si>
    <t>Descripción del artículo</t>
  </si>
  <si>
    <t>Unidad de medida de inventario</t>
  </si>
  <si>
    <t>En stock</t>
  </si>
  <si>
    <t>Comprometido</t>
  </si>
  <si>
    <t>Solicitado</t>
  </si>
  <si>
    <t>Disponible</t>
  </si>
  <si>
    <t>Precio de artículo</t>
  </si>
  <si>
    <t>Total</t>
  </si>
  <si>
    <t>Confirmado</t>
  </si>
  <si>
    <t>Valor acumulado</t>
  </si>
  <si>
    <t>Cuenta de mayor</t>
  </si>
  <si>
    <t>Nombre de usuario</t>
  </si>
  <si>
    <t>Costo estándar de producción total</t>
  </si>
  <si>
    <t>Almacén</t>
  </si>
  <si>
    <t>USD 137.252,640</t>
  </si>
  <si>
    <t>USD 1.298,640</t>
  </si>
  <si>
    <t>USD 20.974,800</t>
  </si>
  <si>
    <t>USD 742,560</t>
  </si>
  <si>
    <t>GLUP! NARANJA  CAJA X 6BOT X 2.0LTS</t>
  </si>
  <si>
    <t>USD 37.867,200</t>
  </si>
  <si>
    <t>USD 84,000</t>
  </si>
  <si>
    <t>USD 68.317,500</t>
  </si>
  <si>
    <t>USD 1.258,320</t>
  </si>
  <si>
    <t>USD 40.653,760</t>
  </si>
  <si>
    <t>USD 53.878,720</t>
  </si>
  <si>
    <t>USD 598,080</t>
  </si>
  <si>
    <t>USD 23.712,640</t>
  </si>
  <si>
    <t>USD 53.299,240</t>
  </si>
  <si>
    <t>USD 23.259,680</t>
  </si>
  <si>
    <t>USD 8.138,520</t>
  </si>
  <si>
    <t>USD 50,320</t>
  </si>
  <si>
    <t>USD 471.386,62</t>
  </si>
  <si>
    <t>Total general:</t>
  </si>
  <si>
    <t>Descripción</t>
  </si>
  <si>
    <t>Fecha del sistema</t>
  </si>
  <si>
    <t>Fecha de contabilización</t>
  </si>
  <si>
    <t>Documento</t>
  </si>
  <si>
    <t>Fila documento</t>
  </si>
  <si>
    <t>Cantidad</t>
  </si>
  <si>
    <t>Costos</t>
  </si>
  <si>
    <t>Valor trans.</t>
  </si>
  <si>
    <t>Cantidad acumulada</t>
  </si>
  <si>
    <t>GLUP! COLA NEGRA CAJA X 12BOT X 1.5LTS</t>
  </si>
  <si>
    <t>GLUP! UVA  CAJA X 12BOT X 1.5LTS</t>
  </si>
  <si>
    <t>GLUP! KOLITA CAJA X 12BOT X 1.5LTS</t>
  </si>
  <si>
    <t>GLUP! PIÑA CAJA X 12BOT X 1.5LTS</t>
  </si>
  <si>
    <t>GLUP! NARANJA CAJA X 12BOT X 1.5LTS</t>
  </si>
  <si>
    <t>GLUP! FRESH CAJA X 12BOT X 1.5LTS</t>
  </si>
  <si>
    <t>JUSTY MANGO- DURAZNO CAJA X 12BOT X 1.5LTS</t>
  </si>
  <si>
    <t>JUSTY FRUTAS ROJAS CAJA X 12BOT X 1.5LTS</t>
  </si>
  <si>
    <t>AGUA! FRESHQUA CAJA X 12BOT X 1.5LTS</t>
  </si>
  <si>
    <t>AGUA! FRESHQUA CAJA X 24BOT X 0.355LTS</t>
  </si>
  <si>
    <t>AGUA! FRESHQUA CAJA X 24BOT X 0.600LTS</t>
  </si>
  <si>
    <t>JUSTY MANGO-DURAZNO CAJA X 24BOT X 0.355LTS</t>
  </si>
  <si>
    <t>JUSTY NARANJA CAJA X 24BOT X 0.355LTS</t>
  </si>
  <si>
    <t>VITA TEA LIMÓN CAJA X 24 BOT X 0.355LTS</t>
  </si>
  <si>
    <t>VITA TEA DURAZNO CAJA X 24 BOT X 0.355LTS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</si>
</sst>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0.000"/>
    <numFmt numFmtId="166" formatCode="#,##0.00000"/>
    <numFmt numFmtId="167" formatCode="#,##0.000"/>
    <numFmt numFmtId="168" formatCode="#,##0.000000000000000000"/>
  </numFmts>
  <fonts count="26" x14ac:knownFonts="1">
    <font>
      <color theme="1"/>
      <family val="2"/>
      <scheme val="minor"/>
      <sz val="11"/>
      <name val="Calibri"/>
    </font>
    <font>
      <b/>
      <color rgb="FF006600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b/>
      <color rgb="FFC00000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color theme="1"/>
      <family val="2"/>
      <scheme val="minor"/>
      <sz val="18"/>
      <name val="Calibri"/>
    </font>
    <font>
      <b/>
      <family val="2"/>
      <scheme val="minor"/>
      <sz val="18"/>
      <name val="Calibri"/>
    </font>
    <font>
      <family val="2"/>
      <scheme val="minor"/>
      <sz val="11"/>
      <name val="Calibri"/>
    </font>
    <font>
      <b/>
      <color theme="3" tint="0.3999755851924192"/>
      <family val="2"/>
      <scheme val="minor"/>
      <sz val="14"/>
      <name val="Calibri"/>
    </font>
    <font>
      <b/>
      <color theme="3" tint="0.3999755851924192"/>
      <family val="2"/>
      <scheme val="minor"/>
      <sz val="11"/>
      <name val="Calibri"/>
    </font>
    <font>
      <b/>
      <color theme="3" tint="0.3999755851924192"/>
      <family val="2"/>
      <scheme val="minor"/>
      <sz val="18"/>
      <name val="Calibri"/>
    </font>
    <font>
      <b/>
      <family val="2"/>
      <scheme val="minor"/>
      <sz val="14"/>
      <name val="Calibri"/>
    </font>
    <font>
      <b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color rgb="FFFF0000"/>
      <family val="2"/>
      <scheme val="minor"/>
      <sz val="11"/>
      <name val="Calibri"/>
    </font>
    <font>
      <b/>
      <color rgb="FFFF0000"/>
      <family val="2"/>
      <scheme val="minor"/>
      <sz val="12"/>
      <name val="Calibri"/>
    </font>
    <font>
      <b/>
      <color rgb="FFFF0000"/>
      <family val="2"/>
      <scheme val="minor"/>
      <sz val="14"/>
      <name val="Calibri"/>
    </font>
    <font>
      <color theme="1"/>
      <family val="2"/>
      <scheme val="minor"/>
      <sz val="16"/>
      <name val="Calibri"/>
    </font>
    <font>
      <b/>
      <color rgb="FFFF0000"/>
      <family val="2"/>
      <scheme val="minor"/>
      <sz val="11"/>
      <name val="Calibri"/>
    </font>
    <font>
      <b/>
      <family val="2"/>
      <scheme val="minor"/>
      <sz val="12"/>
      <name val="Calibri"/>
    </font>
    <font>
      <family val="2"/>
      <scheme val="minor"/>
      <sz val="14"/>
      <name val="Calibri"/>
    </font>
    <font>
      <b/>
      <color rgb="FFFF0000"/>
      <family val="2"/>
      <scheme val="minor"/>
      <sz val="16"/>
      <name val="Calibri"/>
    </font>
    <font>
      <b/>
      <family val="2"/>
      <scheme val="minor"/>
      <sz val="16"/>
      <name val="Calibri"/>
    </font>
    <font>
      <color rgb="FFFF0000"/>
      <family val="2"/>
      <scheme val="minor"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medium"/>
      <top/>
      <bottom style="thin"/>
      <diagonal/>
    </border>
    <border>
      <left style="medium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1">
    <xf numFmtId="0" fontId="0" fillId="0" borderId="0"/>
  </cellStyleXfs>
  <cellXfs count="185">
    <xf numFmtId="0" fontId="0" fillId="0" borderId="0" xfId="0"/>
    <xf numFmtId="3" fontId="0" fillId="0" borderId="1" xfId="0" applyNumberFormat="1" applyBorder="1"/>
    <xf numFmtId="0" fontId="1" fillId="0" borderId="2" xfId="0" applyFont="1" applyBorder="1"/>
    <xf numFmtId="0" fontId="0" fillId="0" borderId="3" xfId="0" applyBorder="1"/>
    <xf numFmtId="14" fontId="2" fillId="0" borderId="0" xfId="0" applyNumberFormat="1" applyFont="1"/>
    <xf numFmtId="0" fontId="0" fillId="0" borderId="4" xfId="0" applyBorder="1"/>
    <xf numFmtId="0" fontId="3" fillId="0" borderId="0" xfId="0" applyFont="1"/>
    <xf numFmtId="0" fontId="0" fillId="0" borderId="5" xfId="0" applyBorder="1"/>
    <xf numFmtId="19" fontId="4" fillId="0" borderId="0" xfId="0" applyNumberFormat="1" applyFont="1" applyAlignment="1">
      <alignment horizontal="right"/>
    </xf>
    <xf numFmtId="0" fontId="0" fillId="0" borderId="6" xfId="0" applyBorder="1"/>
    <xf numFmtId="0" fontId="5" fillId="0" borderId="7" xfId="0" applyFont="1" applyBorder="1"/>
    <xf numFmtId="0" fontId="0" fillId="0" borderId="8" xfId="0" applyBorder="1"/>
    <xf numFmtId="0" fontId="4" fillId="0" borderId="0" xfId="0" applyFont="1"/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 wrapText="1"/>
    </xf>
    <xf numFmtId="3" fontId="2" fillId="0" borderId="10" xfId="0" applyNumberFormat="1" applyFont="1" applyBorder="1"/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6" fillId="2" borderId="12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2" fillId="2" borderId="13" xfId="0" applyFont="1" applyFill="1" applyBorder="1" applyAlignment="1">
      <alignment horizontal="center"/>
    </xf>
    <xf numFmtId="0" fontId="0" fillId="2" borderId="13" xfId="0" applyFill="1" applyBorder="1"/>
    <xf numFmtId="3" fontId="7" fillId="2" borderId="14" xfId="0" applyNumberFormat="1" applyFont="1" applyFill="1" applyBorder="1"/>
    <xf numFmtId="3" fontId="0" fillId="2" borderId="13" xfId="0" applyNumberFormat="1" applyFill="1" applyBorder="1"/>
    <xf numFmtId="3" fontId="7" fillId="2" borderId="13" xfId="0" applyNumberFormat="1" applyFont="1" applyFill="1" applyBorder="1"/>
    <xf numFmtId="0" fontId="7" fillId="2" borderId="13" xfId="0" applyFont="1" applyFill="1" applyBorder="1"/>
    <xf numFmtId="0" fontId="7" fillId="2" borderId="15" xfId="0" applyFont="1" applyFill="1" applyBorder="1" applyAlignment="1">
      <alignment horizontal="right"/>
    </xf>
    <xf numFmtId="3" fontId="0" fillId="0" borderId="0" xfId="0" applyNumberFormat="1"/>
    <xf numFmtId="0" fontId="6" fillId="0" borderId="16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2" fillId="0" borderId="14" xfId="0" applyFont="1" applyBorder="1" applyAlignment="1">
      <alignment horizontal="center"/>
    </xf>
    <xf numFmtId="0" fontId="0" fillId="0" borderId="14" xfId="0" applyBorder="1"/>
    <xf numFmtId="3" fontId="7" fillId="0" borderId="14" xfId="0" applyNumberFormat="1" applyFont="1" applyBorder="1"/>
    <xf numFmtId="3" fontId="0" fillId="0" borderId="14" xfId="0" applyNumberFormat="1" applyBorder="1"/>
    <xf numFmtId="0" fontId="7" fillId="0" borderId="14" xfId="0" applyFont="1" applyBorder="1"/>
    <xf numFmtId="0" fontId="7" fillId="0" borderId="17" xfId="0" applyFont="1" applyBorder="1"/>
    <xf numFmtId="3" fontId="7" fillId="3" borderId="14" xfId="0" applyNumberFormat="1" applyFont="1" applyFill="1" applyBorder="1"/>
    <xf numFmtId="0" fontId="6" fillId="0" borderId="16" xfId="0" applyFont="1" applyBorder="1"/>
    <xf numFmtId="0" fontId="6" fillId="0" borderId="14" xfId="0" applyFont="1" applyBorder="1"/>
    <xf numFmtId="3" fontId="7" fillId="4" borderId="14" xfId="0" applyNumberFormat="1" applyFont="1" applyFill="1" applyBorder="1"/>
    <xf numFmtId="0" fontId="6" fillId="2" borderId="16" xfId="0" applyFont="1" applyFill="1" applyBorder="1"/>
    <xf numFmtId="0" fontId="6" fillId="2" borderId="14" xfId="0" applyFont="1" applyFill="1" applyBorder="1"/>
    <xf numFmtId="0" fontId="2" fillId="2" borderId="14" xfId="0" applyFont="1" applyFill="1" applyBorder="1" applyAlignment="1">
      <alignment horizontal="center"/>
    </xf>
    <xf numFmtId="0" fontId="0" fillId="2" borderId="14" xfId="0" applyFill="1" applyBorder="1"/>
    <xf numFmtId="3" fontId="0" fillId="2" borderId="14" xfId="0" applyNumberFormat="1" applyFill="1" applyBorder="1"/>
    <xf numFmtId="0" fontId="7" fillId="2" borderId="14" xfId="0" applyFont="1" applyFill="1" applyBorder="1"/>
    <xf numFmtId="0" fontId="7" fillId="2" borderId="17" xfId="0" applyFont="1" applyFill="1" applyBorder="1"/>
    <xf numFmtId="3" fontId="8" fillId="0" borderId="14" xfId="0" applyNumberFormat="1" applyFont="1" applyBorder="1"/>
    <xf numFmtId="0" fontId="9" fillId="0" borderId="14" xfId="0" applyFont="1" applyBorder="1"/>
    <xf numFmtId="3" fontId="6" fillId="2" borderId="16" xfId="0" applyNumberFormat="1" applyFont="1" applyFill="1" applyBorder="1" applyAlignment="1">
      <alignment horizontal="left" vertical="top"/>
    </xf>
    <xf numFmtId="3" fontId="6" fillId="2" borderId="14" xfId="0" applyNumberFormat="1" applyFont="1" applyFill="1" applyBorder="1" applyAlignment="1">
      <alignment horizontal="left" vertical="top"/>
    </xf>
    <xf numFmtId="3" fontId="2" fillId="2" borderId="14" xfId="0" applyNumberFormat="1" applyFon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 vertical="center"/>
    </xf>
    <xf numFmtId="3" fontId="8" fillId="2" borderId="14" xfId="0" applyNumberFormat="1" applyFont="1" applyFill="1" applyBorder="1"/>
    <xf numFmtId="3" fontId="6" fillId="0" borderId="16" xfId="0" applyNumberFormat="1" applyFont="1" applyBorder="1" applyAlignment="1">
      <alignment horizontal="left" vertical="top"/>
    </xf>
    <xf numFmtId="3" fontId="6" fillId="0" borderId="14" xfId="0" applyNumberFormat="1" applyFont="1" applyBorder="1" applyAlignment="1">
      <alignment horizontal="left" vertical="top"/>
    </xf>
    <xf numFmtId="3" fontId="2" fillId="0" borderId="14" xfId="0" applyNumberFormat="1" applyFon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10" fillId="0" borderId="16" xfId="0" applyNumberFormat="1" applyFont="1" applyBorder="1" applyAlignment="1">
      <alignment horizontal="left" vertical="top"/>
    </xf>
    <xf numFmtId="3" fontId="10" fillId="0" borderId="14" xfId="0" applyNumberFormat="1" applyFont="1" applyBorder="1" applyAlignment="1">
      <alignment horizontal="left" vertical="top"/>
    </xf>
    <xf numFmtId="3" fontId="10" fillId="0" borderId="14" xfId="0" applyNumberFormat="1" applyFont="1" applyBorder="1" applyAlignment="1">
      <alignment horizontal="center" vertical="center"/>
    </xf>
    <xf numFmtId="3" fontId="11" fillId="0" borderId="14" xfId="0" applyNumberFormat="1" applyFont="1" applyBorder="1" applyAlignment="1">
      <alignment horizontal="center" vertical="center"/>
    </xf>
    <xf numFmtId="3" fontId="12" fillId="4" borderId="14" xfId="0" applyNumberFormat="1" applyFont="1" applyFill="1" applyBorder="1"/>
    <xf numFmtId="3" fontId="11" fillId="0" borderId="14" xfId="0" applyNumberFormat="1" applyFont="1" applyBorder="1"/>
    <xf numFmtId="3" fontId="12" fillId="0" borderId="14" xfId="0" applyNumberFormat="1" applyFont="1" applyBorder="1"/>
    <xf numFmtId="3" fontId="13" fillId="0" borderId="16" xfId="0" applyNumberFormat="1" applyFont="1" applyBorder="1" applyAlignment="1">
      <alignment horizontal="left" vertical="top"/>
    </xf>
    <xf numFmtId="3" fontId="13" fillId="0" borderId="14" xfId="0" applyNumberFormat="1" applyFont="1" applyBorder="1" applyAlignment="1">
      <alignment horizontal="left" vertical="top"/>
    </xf>
    <xf numFmtId="3" fontId="13" fillId="0" borderId="14" xfId="0" applyNumberFormat="1" applyFont="1" applyBorder="1" applyAlignment="1">
      <alignment horizontal="center" vertical="center"/>
    </xf>
    <xf numFmtId="3" fontId="14" fillId="0" borderId="14" xfId="0" applyNumberFormat="1" applyFont="1" applyBorder="1" applyAlignment="1">
      <alignment horizontal="center" vertical="center"/>
    </xf>
    <xf numFmtId="3" fontId="14" fillId="0" borderId="14" xfId="0" applyNumberFormat="1" applyFont="1" applyBorder="1"/>
    <xf numFmtId="3" fontId="13" fillId="0" borderId="18" xfId="0" applyNumberFormat="1" applyFont="1" applyBorder="1" applyAlignment="1">
      <alignment horizontal="left" vertical="top"/>
    </xf>
    <xf numFmtId="3" fontId="13" fillId="0" borderId="19" xfId="0" applyNumberFormat="1" applyFont="1" applyBorder="1" applyAlignment="1">
      <alignment horizontal="left" vertical="top"/>
    </xf>
    <xf numFmtId="3" fontId="13" fillId="0" borderId="19" xfId="0" applyNumberFormat="1" applyFont="1" applyBorder="1" applyAlignment="1">
      <alignment horizontal="center" vertical="center"/>
    </xf>
    <xf numFmtId="3" fontId="14" fillId="0" borderId="19" xfId="0" applyNumberFormat="1" applyFont="1" applyBorder="1" applyAlignment="1">
      <alignment horizontal="center" vertical="center"/>
    </xf>
    <xf numFmtId="3" fontId="7" fillId="0" borderId="19" xfId="0" applyNumberFormat="1" applyFont="1" applyBorder="1"/>
    <xf numFmtId="3" fontId="14" fillId="0" borderId="19" xfId="0" applyNumberFormat="1" applyFont="1" applyBorder="1"/>
    <xf numFmtId="3" fontId="8" fillId="0" borderId="19" xfId="0" applyNumberFormat="1" applyFont="1" applyBorder="1"/>
    <xf numFmtId="0" fontId="7" fillId="0" borderId="19" xfId="0" applyFont="1" applyBorder="1"/>
    <xf numFmtId="0" fontId="7" fillId="0" borderId="20" xfId="0" applyFont="1" applyBorder="1"/>
    <xf numFmtId="0" fontId="0" fillId="0" borderId="0" xfId="0" applyAlignment="1">
      <alignment vertical="top"/>
    </xf>
    <xf numFmtId="3" fontId="15" fillId="0" borderId="0" xfId="0" applyNumberFormat="1" applyFont="1"/>
    <xf numFmtId="0" fontId="0" fillId="2" borderId="0" xfId="0" applyFill="1"/>
    <xf numFmtId="3" fontId="7" fillId="2" borderId="0" xfId="0" applyNumberFormat="1" applyFont="1" applyFill="1"/>
    <xf numFmtId="3" fontId="7" fillId="0" borderId="0" xfId="0" applyNumberFormat="1" applyFont="1"/>
    <xf numFmtId="3" fontId="6" fillId="0" borderId="0" xfId="0" applyNumberFormat="1" applyFont="1"/>
    <xf numFmtId="164" fontId="0" fillId="0" borderId="0" xfId="0" applyNumberFormat="1"/>
    <xf numFmtId="14" fontId="0" fillId="0" borderId="0" xfId="0" applyNumberFormat="1"/>
    <xf numFmtId="14" fontId="4" fillId="0" borderId="0" xfId="0" applyNumberFormat="1" applyFont="1"/>
    <xf numFmtId="0" fontId="16" fillId="0" borderId="0" xfId="0" applyFont="1"/>
    <xf numFmtId="0" fontId="2" fillId="5" borderId="10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165" fontId="4" fillId="0" borderId="10" xfId="0" applyNumberFormat="1" applyFont="1" applyBorder="1"/>
    <xf numFmtId="0" fontId="4" fillId="0" borderId="10" xfId="0" applyFont="1" applyBorder="1"/>
    <xf numFmtId="3" fontId="4" fillId="0" borderId="10" xfId="0" applyNumberFormat="1" applyFont="1" applyBorder="1"/>
    <xf numFmtId="4" fontId="4" fillId="0" borderId="10" xfId="0" applyNumberFormat="1" applyFont="1" applyBorder="1"/>
    <xf numFmtId="1" fontId="0" fillId="2" borderId="0" xfId="0" applyNumberFormat="1" applyFill="1"/>
    <xf numFmtId="1" fontId="17" fillId="2" borderId="0" xfId="0" applyNumberFormat="1" applyFont="1" applyFill="1"/>
    <xf numFmtId="3" fontId="0" fillId="2" borderId="0" xfId="0" applyNumberFormat="1" applyFill="1"/>
    <xf numFmtId="3" fontId="13" fillId="2" borderId="0" xfId="0" applyNumberFormat="1" applyFont="1" applyFill="1"/>
    <xf numFmtId="3" fontId="15" fillId="2" borderId="0" xfId="0" applyNumberFormat="1" applyFont="1" applyFill="1"/>
    <xf numFmtId="166" fontId="0" fillId="0" borderId="0" xfId="0" applyNumberFormat="1"/>
    <xf numFmtId="4" fontId="0" fillId="0" borderId="0" xfId="0" applyNumberFormat="1"/>
    <xf numFmtId="1" fontId="0" fillId="0" borderId="0" xfId="0" applyNumberFormat="1"/>
    <xf numFmtId="1" fontId="17" fillId="0" borderId="0" xfId="0" applyNumberFormat="1" applyFont="1"/>
    <xf numFmtId="3" fontId="13" fillId="0" borderId="0" xfId="0" applyNumberFormat="1" applyFont="1"/>
    <xf numFmtId="0" fontId="13" fillId="0" borderId="0" xfId="0" applyFont="1"/>
    <xf numFmtId="0" fontId="18" fillId="2" borderId="13" xfId="0" applyFont="1" applyFill="1" applyBorder="1"/>
    <xf numFmtId="1" fontId="17" fillId="2" borderId="13" xfId="0" applyNumberFormat="1" applyFont="1" applyFill="1" applyBorder="1"/>
    <xf numFmtId="3" fontId="6" fillId="2" borderId="13" xfId="0" applyNumberFormat="1" applyFont="1" applyFill="1" applyBorder="1"/>
    <xf numFmtId="3" fontId="13" fillId="2" borderId="13" xfId="0" applyNumberFormat="1" applyFont="1" applyFill="1" applyBorder="1"/>
    <xf numFmtId="3" fontId="19" fillId="2" borderId="13" xfId="0" applyNumberFormat="1" applyFont="1" applyFill="1" applyBorder="1"/>
    <xf numFmtId="4" fontId="0" fillId="2" borderId="13" xfId="0" applyNumberFormat="1" applyFill="1" applyBorder="1"/>
    <xf numFmtId="0" fontId="19" fillId="2" borderId="0" xfId="0" applyFont="1" applyFill="1" applyAlignment="1">
      <alignment horizontal="center" vertical="center" wrapText="1" textRotation="255"/>
    </xf>
    <xf numFmtId="1" fontId="17" fillId="0" borderId="14" xfId="0" applyNumberFormat="1" applyFont="1" applyBorder="1"/>
    <xf numFmtId="3" fontId="6" fillId="0" borderId="14" xfId="0" applyNumberFormat="1" applyFont="1" applyBorder="1"/>
    <xf numFmtId="3" fontId="2" fillId="0" borderId="14" xfId="0" applyNumberFormat="1" applyFont="1" applyBorder="1"/>
    <xf numFmtId="3" fontId="13" fillId="0" borderId="14" xfId="0" applyNumberFormat="1" applyFont="1" applyBorder="1"/>
    <xf numFmtId="3" fontId="19" fillId="2" borderId="14" xfId="0" applyNumberFormat="1" applyFont="1" applyFill="1" applyBorder="1"/>
    <xf numFmtId="4" fontId="0" fillId="0" borderId="14" xfId="0" applyNumberFormat="1" applyBorder="1"/>
    <xf numFmtId="0" fontId="18" fillId="0" borderId="14" xfId="0" applyFont="1" applyBorder="1"/>
    <xf numFmtId="0" fontId="13" fillId="0" borderId="14" xfId="0" applyFont="1" applyBorder="1"/>
    <xf numFmtId="0" fontId="20" fillId="0" borderId="0" xfId="0" applyFont="1"/>
    <xf numFmtId="1" fontId="17" fillId="2" borderId="14" xfId="0" applyNumberFormat="1" applyFont="1" applyFill="1" applyBorder="1"/>
    <xf numFmtId="3" fontId="6" fillId="2" borderId="14" xfId="0" applyNumberFormat="1" applyFont="1" applyFill="1" applyBorder="1"/>
    <xf numFmtId="3" fontId="2" fillId="2" borderId="14" xfId="0" applyNumberFormat="1" applyFont="1" applyFill="1" applyBorder="1"/>
    <xf numFmtId="3" fontId="13" fillId="2" borderId="14" xfId="0" applyNumberFormat="1" applyFont="1" applyFill="1" applyBorder="1"/>
    <xf numFmtId="4" fontId="0" fillId="2" borderId="14" xfId="0" applyNumberFormat="1" applyFill="1" applyBorder="1"/>
    <xf numFmtId="0" fontId="2" fillId="0" borderId="0" xfId="0" applyFont="1"/>
    <xf numFmtId="3" fontId="9" fillId="0" borderId="14" xfId="0" applyNumberFormat="1" applyFont="1" applyBorder="1"/>
    <xf numFmtId="0" fontId="6" fillId="6" borderId="16" xfId="0" applyFont="1" applyFill="1" applyBorder="1" applyAlignment="1">
      <alignment vertical="top"/>
    </xf>
    <xf numFmtId="0" fontId="6" fillId="6" borderId="14" xfId="0" applyFont="1" applyFill="1" applyBorder="1" applyAlignment="1">
      <alignment vertical="top"/>
    </xf>
    <xf numFmtId="0" fontId="6" fillId="6" borderId="14" xfId="0" applyFont="1" applyFill="1" applyBorder="1"/>
    <xf numFmtId="0" fontId="0" fillId="6" borderId="14" xfId="0" applyFill="1" applyBorder="1"/>
    <xf numFmtId="0" fontId="2" fillId="6" borderId="14" xfId="0" applyFont="1" applyFill="1" applyBorder="1" applyAlignment="1">
      <alignment horizontal="center"/>
    </xf>
    <xf numFmtId="3" fontId="7" fillId="6" borderId="14" xfId="0" applyNumberFormat="1" applyFont="1" applyFill="1" applyBorder="1"/>
    <xf numFmtId="3" fontId="0" fillId="6" borderId="14" xfId="0" applyNumberFormat="1" applyFill="1" applyBorder="1"/>
    <xf numFmtId="1" fontId="17" fillId="6" borderId="14" xfId="0" applyNumberFormat="1" applyFont="1" applyFill="1" applyBorder="1"/>
    <xf numFmtId="3" fontId="13" fillId="6" borderId="14" xfId="0" applyNumberFormat="1" applyFont="1" applyFill="1" applyBorder="1"/>
    <xf numFmtId="0" fontId="6" fillId="2" borderId="16" xfId="0" applyFont="1" applyFill="1" applyBorder="1" applyAlignment="1">
      <alignment vertical="top"/>
    </xf>
    <xf numFmtId="0" fontId="6" fillId="2" borderId="14" xfId="0" applyFont="1" applyFill="1" applyBorder="1" applyAlignment="1">
      <alignment vertical="top"/>
    </xf>
    <xf numFmtId="3" fontId="6" fillId="2" borderId="14" xfId="0" applyNumberFormat="1" applyFont="1" applyFill="1" applyBorder="1" applyAlignment="1">
      <alignment horizontal="center" vertical="top"/>
    </xf>
    <xf numFmtId="3" fontId="6" fillId="2" borderId="14" xfId="0" applyNumberFormat="1" applyFont="1" applyFill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top"/>
    </xf>
    <xf numFmtId="3" fontId="6" fillId="0" borderId="14" xfId="0" applyNumberFormat="1" applyFont="1" applyBorder="1" applyAlignment="1">
      <alignment horizontal="center" vertical="center"/>
    </xf>
    <xf numFmtId="3" fontId="4" fillId="7" borderId="14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vertical="top"/>
    </xf>
    <xf numFmtId="0" fontId="0" fillId="2" borderId="14" xfId="0" applyFill="1" applyBorder="1" applyAlignment="1">
      <alignment vertical="top"/>
    </xf>
    <xf numFmtId="3" fontId="9" fillId="2" borderId="14" xfId="0" applyNumberFormat="1" applyFont="1" applyFill="1" applyBorder="1"/>
    <xf numFmtId="3" fontId="19" fillId="0" borderId="14" xfId="0" applyNumberFormat="1" applyFont="1" applyBorder="1"/>
    <xf numFmtId="3" fontId="10" fillId="0" borderId="14" xfId="0" applyNumberFormat="1" applyFont="1" applyBorder="1" applyAlignment="1">
      <alignment horizontal="center" vertical="top"/>
    </xf>
    <xf numFmtId="3" fontId="13" fillId="2" borderId="16" xfId="0" applyNumberFormat="1" applyFont="1" applyFill="1" applyBorder="1" applyAlignment="1">
      <alignment horizontal="left" vertical="top"/>
    </xf>
    <xf numFmtId="3" fontId="13" fillId="2" borderId="14" xfId="0" applyNumberFormat="1" applyFont="1" applyFill="1" applyBorder="1" applyAlignment="1">
      <alignment horizontal="left" vertical="top"/>
    </xf>
    <xf numFmtId="3" fontId="13" fillId="2" borderId="14" xfId="0" applyNumberFormat="1" applyFont="1" applyFill="1" applyBorder="1" applyAlignment="1">
      <alignment horizontal="center" vertical="top"/>
    </xf>
    <xf numFmtId="3" fontId="13" fillId="2" borderId="14" xfId="0" applyNumberFormat="1" applyFont="1" applyFill="1" applyBorder="1" applyAlignment="1">
      <alignment horizontal="center" vertical="center"/>
    </xf>
    <xf numFmtId="3" fontId="14" fillId="2" borderId="14" xfId="0" applyNumberFormat="1" applyFont="1" applyFill="1" applyBorder="1" applyAlignment="1">
      <alignment horizontal="center" vertical="center"/>
    </xf>
    <xf numFmtId="3" fontId="14" fillId="2" borderId="14" xfId="0" applyNumberFormat="1" applyFont="1" applyFill="1" applyBorder="1"/>
    <xf numFmtId="1" fontId="21" fillId="2" borderId="14" xfId="0" applyNumberFormat="1" applyFont="1" applyFill="1" applyBorder="1"/>
    <xf numFmtId="3" fontId="22" fillId="2" borderId="14" xfId="0" applyNumberFormat="1" applyFont="1" applyFill="1" applyBorder="1"/>
    <xf numFmtId="3" fontId="13" fillId="0" borderId="14" xfId="0" applyNumberFormat="1" applyFont="1" applyBorder="1" applyAlignment="1">
      <alignment horizontal="center" vertical="top"/>
    </xf>
    <xf numFmtId="1" fontId="21" fillId="0" borderId="14" xfId="0" applyNumberFormat="1" applyFont="1" applyBorder="1"/>
    <xf numFmtId="3" fontId="22" fillId="0" borderId="14" xfId="0" applyNumberFormat="1" applyFont="1" applyBorder="1"/>
    <xf numFmtId="3" fontId="13" fillId="0" borderId="19" xfId="0" applyNumberFormat="1" applyFont="1" applyBorder="1" applyAlignment="1">
      <alignment horizontal="center" vertical="top"/>
    </xf>
    <xf numFmtId="1" fontId="21" fillId="0" borderId="19" xfId="0" applyNumberFormat="1" applyFont="1" applyBorder="1"/>
    <xf numFmtId="3" fontId="22" fillId="0" borderId="19" xfId="0" applyNumberFormat="1" applyFont="1" applyBorder="1"/>
    <xf numFmtId="3" fontId="13" fillId="0" borderId="19" xfId="0" applyNumberFormat="1" applyFont="1" applyBorder="1"/>
    <xf numFmtId="0" fontId="0" fillId="0" borderId="19" xfId="0" applyBorder="1"/>
    <xf numFmtId="3" fontId="19" fillId="2" borderId="19" xfId="0" applyNumberFormat="1" applyFont="1" applyFill="1" applyBorder="1"/>
    <xf numFmtId="3" fontId="0" fillId="0" borderId="19" xfId="0" applyNumberFormat="1" applyBorder="1"/>
    <xf numFmtId="3" fontId="6" fillId="0" borderId="19" xfId="0" applyNumberFormat="1" applyFont="1" applyBorder="1"/>
    <xf numFmtId="4" fontId="0" fillId="0" borderId="19" xfId="0" applyNumberFormat="1" applyBorder="1"/>
    <xf numFmtId="0" fontId="0" fillId="8" borderId="0" xfId="0" applyFill="1"/>
    <xf numFmtId="3" fontId="0" fillId="8" borderId="0" xfId="0" applyNumberFormat="1" applyFill="1"/>
    <xf numFmtId="0" fontId="13" fillId="8" borderId="0" xfId="0" applyFont="1" applyFill="1"/>
    <xf numFmtId="3" fontId="9" fillId="0" borderId="0" xfId="0" applyNumberFormat="1" applyFont="1"/>
    <xf numFmtId="1" fontId="23" fillId="2" borderId="0" xfId="0" applyNumberFormat="1" applyFont="1" applyFill="1"/>
    <xf numFmtId="3" fontId="19" fillId="2" borderId="0" xfId="0" applyNumberFormat="1" applyFont="1" applyFill="1"/>
    <xf numFmtId="3" fontId="24" fillId="2" borderId="0" xfId="0" applyNumberFormat="1" applyFont="1" applyFill="1"/>
    <xf numFmtId="4" fontId="0" fillId="2" borderId="0" xfId="0" applyNumberFormat="1" applyFill="1"/>
    <xf numFmtId="3" fontId="2" fillId="0" borderId="0" xfId="0" applyNumberFormat="1" applyFont="1"/>
    <xf numFmtId="167" fontId="0" fillId="0" borderId="0" xfId="0" applyNumberFormat="1"/>
    <xf numFmtId="168" fontId="0" fillId="0" borderId="0" xfId="0" applyNumberFormat="1"/>
    <xf numFmtId="3" fontId="25" fillId="0" borderId="0" xfId="0" applyNumberFormat="1" applyFont="1"/>
    <xf numFmtId="3" fontId="20" fillId="0" borderId="0" xfId="0" applyNumberFormat="1" applyFont="1"/>
  </cellXfs>
  <cellStyles count="1">
    <cellStyle name="Normal" xfId="0" builtinId="0"/>
  </cellStyles>
  <dxfs count="10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8.xml"/><Relationship Id="rId5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5"/>
  <sheetViews>
    <sheetView workbookViewId="0" zoomScale="80" zoomScaleNormal="80">
      <selection activeCell="E27" sqref="E27"/>
    </sheetView>
  </sheetViews>
  <sheetFormatPr defaultRowHeight="15" outlineLevelRow="0" outlineLevelCol="0" x14ac:dyDescent="0.25"/>
  <cols>
    <col min="1" max="1" width="17.140625" customWidth="1"/>
    <col min="2" max="2" width="57.28515625" customWidth="1"/>
    <col min="4" max="4" width="4.28515625" customWidth="1"/>
    <col min="5" max="5" width="19.28515625" customWidth="1"/>
    <col min="6" max="6" width="2.7109375" customWidth="1"/>
    <col min="7" max="7" width="7.42578125" customWidth="1"/>
    <col min="8" max="8" width="13.28515625" customWidth="1"/>
    <col min="9" max="9" width="18.85546875" customWidth="1"/>
    <col min="10" max="10" width="17.28515625" customWidth="1"/>
    <col min="11" max="11" width="15.28515625" customWidth="1"/>
  </cols>
  <sheetData>
    <row r="1" ht="15.75" customHeight="1" spans="1:10" x14ac:dyDescent="0.25">
      <c r="A1" t="s">
        <v>0</v>
      </c>
      <c r="D1" s="1"/>
      <c r="E1" s="2" t="s">
        <v>1</v>
      </c>
      <c r="F1" s="3"/>
      <c r="J1" s="4">
        <f>TODAY()</f>
        <v>46323</v>
      </c>
    </row>
    <row r="2" ht="15.75" customHeight="1" spans="1:10" x14ac:dyDescent="0.25">
      <c r="A2" t="s">
        <v>2</v>
      </c>
      <c r="D2" s="5"/>
      <c r="E2" s="6" t="s">
        <v>3</v>
      </c>
      <c r="F2" s="7"/>
      <c r="J2" s="8">
        <v>0.3541666666678793</v>
      </c>
    </row>
    <row r="3" ht="16.5" customHeight="1" spans="1:6" x14ac:dyDescent="0.25">
      <c r="A3" t="s">
        <v>4</v>
      </c>
      <c r="D3" s="9"/>
      <c r="E3" s="10" t="s">
        <v>5</v>
      </c>
      <c r="F3" s="11"/>
    </row>
    <row r="4" ht="35.1" customHeight="1" spans="1:10" s="12" customFormat="1" x14ac:dyDescent="0.25">
      <c r="A4" s="13" t="s">
        <v>6</v>
      </c>
      <c r="B4" s="14" t="s">
        <v>7</v>
      </c>
      <c r="C4" s="15" t="s">
        <v>8</v>
      </c>
      <c r="D4" s="14"/>
      <c r="E4" s="14" t="s">
        <v>9</v>
      </c>
      <c r="F4" s="14"/>
      <c r="G4" s="14" t="s">
        <v>10</v>
      </c>
      <c r="H4" s="16" t="s">
        <v>11</v>
      </c>
      <c r="I4" s="17" t="s">
        <v>12</v>
      </c>
      <c r="J4" s="18" t="s">
        <v>13</v>
      </c>
    </row>
    <row r="5" ht="27.95" customHeight="1" spans="1:11" x14ac:dyDescent="0.25">
      <c r="A5" s="19" t="s">
        <v>14</v>
      </c>
      <c r="B5" s="20" t="s">
        <v>15</v>
      </c>
      <c r="C5" s="21">
        <v>80</v>
      </c>
      <c r="D5" s="22"/>
      <c r="E5" s="23">
        <f>VLOOKUP(A5,'Existencia Sistemaac'!$A$13:$AJ$90,10,FALSE)</f>
        <v>76189</v>
      </c>
      <c r="F5" s="24"/>
      <c r="G5" s="24" t="s">
        <v>16</v>
      </c>
      <c r="H5" s="25">
        <f>+E5/C5</f>
        <v>952.3625</v>
      </c>
      <c r="I5" s="26">
        <v>804</v>
      </c>
      <c r="J5" s="27">
        <f t="shared" ref="J5:J43" si="0">IFERROR(ROUND((+H5/I5),1),0)</f>
        <v>1.2</v>
      </c>
      <c r="K5" s="28"/>
    </row>
    <row r="6" ht="27.95" customHeight="1" spans="1:10" x14ac:dyDescent="0.25">
      <c r="A6" s="29" t="s">
        <v>17</v>
      </c>
      <c r="B6" s="30" t="s">
        <v>18</v>
      </c>
      <c r="C6" s="31">
        <v>80</v>
      </c>
      <c r="D6" s="32"/>
      <c r="E6" s="33">
        <f>VLOOKUP(A6,'Existencia Sistemaac'!$A$13:$AJ$90,10,FALSE)</f>
        <v>23648</v>
      </c>
      <c r="F6" s="34"/>
      <c r="G6" s="34" t="s">
        <v>16</v>
      </c>
      <c r="H6" s="33">
        <f t="shared" ref="H6:H41" si="1">+E6/C6</f>
        <v>295.6</v>
      </c>
      <c r="I6" s="35">
        <v>111</v>
      </c>
      <c r="J6" s="36">
        <f t="shared" si="0"/>
        <v>2.7</v>
      </c>
    </row>
    <row r="7" ht="27.95" customHeight="1" spans="1:10" x14ac:dyDescent="0.25">
      <c r="A7" s="29" t="s">
        <v>19</v>
      </c>
      <c r="B7" s="30" t="s">
        <v>20</v>
      </c>
      <c r="C7" s="31">
        <v>80</v>
      </c>
      <c r="D7" s="32"/>
      <c r="E7" s="37">
        <f>VLOOKUP(A7,'Existencia Sistemaac'!$A$13:$AJ$90,10,FALSE)</f>
        <v>56226</v>
      </c>
      <c r="F7" s="34"/>
      <c r="G7" s="34" t="s">
        <v>16</v>
      </c>
      <c r="H7" s="33">
        <f t="shared" si="1"/>
        <v>702.825</v>
      </c>
      <c r="I7" s="35">
        <v>240</v>
      </c>
      <c r="J7" s="36">
        <f t="shared" si="0"/>
        <v>2.9</v>
      </c>
    </row>
    <row r="8" ht="27.95" customHeight="1" spans="1:10" x14ac:dyDescent="0.25">
      <c r="A8" s="29" t="s">
        <v>21</v>
      </c>
      <c r="B8" s="30" t="s">
        <v>22</v>
      </c>
      <c r="C8" s="31">
        <v>80</v>
      </c>
      <c r="D8" s="32"/>
      <c r="E8" s="33">
        <f>VLOOKUP(A8,'Existencia Sistemaac'!$A$13:$AJ$90,10,FALSE)</f>
        <v>2192</v>
      </c>
      <c r="F8" s="34"/>
      <c r="G8" s="34" t="s">
        <v>16</v>
      </c>
      <c r="H8" s="33">
        <f t="shared" si="1"/>
        <v>27.4</v>
      </c>
      <c r="I8" s="35">
        <v>83</v>
      </c>
      <c r="J8" s="36">
        <f t="shared" si="0"/>
        <v>0.3</v>
      </c>
    </row>
    <row r="9" ht="24.95" customHeight="1" spans="1:10" x14ac:dyDescent="0.25">
      <c r="A9" s="29" t="s">
        <v>23</v>
      </c>
      <c r="B9" s="30" t="s">
        <v>24</v>
      </c>
      <c r="C9" s="31">
        <v>80</v>
      </c>
      <c r="D9" s="32"/>
      <c r="E9" s="33">
        <f>VLOOKUP(A9,'Existencia Sistemaac'!$A$13:$AJ$90,10,FALSE)</f>
        <v>0</v>
      </c>
      <c r="F9" s="34"/>
      <c r="G9" s="34" t="s">
        <v>16</v>
      </c>
      <c r="H9" s="33">
        <f t="shared" si="1"/>
        <v>0</v>
      </c>
      <c r="I9" s="35">
        <v>86</v>
      </c>
      <c r="J9" s="36">
        <f t="shared" si="0"/>
        <v>0</v>
      </c>
    </row>
    <row r="10" ht="27.95" customHeight="1" spans="1:10" x14ac:dyDescent="0.25">
      <c r="A10" s="29" t="s">
        <v>25</v>
      </c>
      <c r="B10" s="30" t="s">
        <v>26</v>
      </c>
      <c r="C10" s="31">
        <v>80</v>
      </c>
      <c r="D10" s="32"/>
      <c r="E10" s="33">
        <f>VLOOKUP(A10,'Existencia Sistemaac'!$A$13:$AJ$90,10,FALSE)</f>
        <v>25637</v>
      </c>
      <c r="F10" s="34"/>
      <c r="G10" s="34" t="s">
        <v>16</v>
      </c>
      <c r="H10" s="33">
        <f t="shared" si="1"/>
        <v>320.4625</v>
      </c>
      <c r="I10" s="35">
        <v>261</v>
      </c>
      <c r="J10" s="36">
        <f t="shared" si="0"/>
        <v>1.2</v>
      </c>
    </row>
    <row r="11" ht="23.25" customHeight="1" spans="1:10" x14ac:dyDescent="0.25">
      <c r="A11" s="38" t="s">
        <v>27</v>
      </c>
      <c r="B11" s="39" t="s">
        <v>28</v>
      </c>
      <c r="C11" s="31">
        <v>80</v>
      </c>
      <c r="D11" s="32"/>
      <c r="E11" s="33">
        <f>VLOOKUP(A11,'Existencia Sistemaac'!$A$13:$AJ$90,10,FALSE)</f>
        <v>15612</v>
      </c>
      <c r="F11" s="34"/>
      <c r="G11" s="34" t="s">
        <v>16</v>
      </c>
      <c r="H11" s="33">
        <f t="shared" si="1"/>
        <v>195.15</v>
      </c>
      <c r="I11" s="35">
        <v>6</v>
      </c>
      <c r="J11" s="36">
        <f t="shared" si="0"/>
        <v>32.5</v>
      </c>
    </row>
    <row r="12" ht="23.25" customHeight="1" spans="1:10" x14ac:dyDescent="0.25">
      <c r="A12" s="38" t="s">
        <v>29</v>
      </c>
      <c r="B12" s="39" t="s">
        <v>30</v>
      </c>
      <c r="C12" s="31">
        <v>80</v>
      </c>
      <c r="D12" s="32"/>
      <c r="E12" s="40">
        <f>VLOOKUP(A12,'Existencia Sistemaac'!$A$13:$AJ$90,10,FALSE)</f>
        <v>7068</v>
      </c>
      <c r="F12" s="32"/>
      <c r="G12" s="32" t="s">
        <v>31</v>
      </c>
      <c r="H12" s="33">
        <f t="shared" si="1"/>
        <v>88.35</v>
      </c>
      <c r="I12" s="35">
        <v>60</v>
      </c>
      <c r="J12" s="36">
        <f t="shared" si="0"/>
        <v>1.5</v>
      </c>
    </row>
    <row r="13" ht="23.25" customHeight="1" spans="1:10" x14ac:dyDescent="0.25">
      <c r="A13" s="38" t="s">
        <v>32</v>
      </c>
      <c r="B13" s="39" t="s">
        <v>33</v>
      </c>
      <c r="C13" s="31">
        <v>80</v>
      </c>
      <c r="D13" s="32"/>
      <c r="E13" s="33">
        <f>VLOOKUP(A13,'Existencia Sistemaac'!$A$13:$AJ$90,10,FALSE)</f>
        <v>6075</v>
      </c>
      <c r="F13" s="32"/>
      <c r="G13" s="32" t="s">
        <v>31</v>
      </c>
      <c r="H13" s="33">
        <f t="shared" si="1"/>
        <v>75.9375</v>
      </c>
      <c r="I13" s="35">
        <v>6</v>
      </c>
      <c r="J13" s="36">
        <f t="shared" si="0"/>
        <v>12.7</v>
      </c>
    </row>
    <row r="14" ht="23.25" customHeight="1" spans="1:10" x14ac:dyDescent="0.25">
      <c r="A14" s="41" t="s">
        <v>34</v>
      </c>
      <c r="B14" s="42" t="s">
        <v>35</v>
      </c>
      <c r="C14" s="43">
        <v>78</v>
      </c>
      <c r="D14" s="44"/>
      <c r="E14" s="23">
        <f>VLOOKUP(A14,'Existencia Sistemaac'!$A$13:$AJ$90,10,FALSE)</f>
        <v>9650</v>
      </c>
      <c r="F14" s="45"/>
      <c r="G14" s="45" t="s">
        <v>31</v>
      </c>
      <c r="H14" s="23">
        <f t="shared" si="1"/>
        <v>123.71794871794872</v>
      </c>
      <c r="I14" s="46">
        <v>118</v>
      </c>
      <c r="J14" s="47">
        <f t="shared" si="0"/>
        <v>1</v>
      </c>
    </row>
    <row r="15" ht="23.25" customHeight="1" spans="1:10" x14ac:dyDescent="0.25">
      <c r="A15" s="38" t="s">
        <v>36</v>
      </c>
      <c r="B15" s="39" t="s">
        <v>37</v>
      </c>
      <c r="C15" s="31">
        <v>78</v>
      </c>
      <c r="D15" s="32"/>
      <c r="E15" s="40">
        <f>VLOOKUP(A15,'Existencia Sistemaac'!$A$13:$AJ$90,10,FALSE)</f>
        <v>9523</v>
      </c>
      <c r="F15" s="34"/>
      <c r="G15" s="34" t="s">
        <v>31</v>
      </c>
      <c r="H15" s="33">
        <f t="shared" si="1"/>
        <v>122.08974358974359</v>
      </c>
      <c r="I15" s="35">
        <v>14</v>
      </c>
      <c r="J15" s="36">
        <f t="shared" si="0"/>
        <v>8.7</v>
      </c>
    </row>
    <row r="16" ht="23.25" customHeight="1" spans="1:10" x14ac:dyDescent="0.25">
      <c r="A16" s="38" t="s">
        <v>38</v>
      </c>
      <c r="B16" s="39" t="s">
        <v>39</v>
      </c>
      <c r="C16" s="31">
        <v>78</v>
      </c>
      <c r="D16" s="32"/>
      <c r="E16" s="33">
        <f>VLOOKUP(A16,'Existencia Sistemaac'!$A$13:$AJ$90,10,FALSE)</f>
        <v>4681</v>
      </c>
      <c r="F16" s="34"/>
      <c r="G16" s="34" t="s">
        <v>31</v>
      </c>
      <c r="H16" s="33">
        <f t="shared" si="1"/>
        <v>60.01282051282051</v>
      </c>
      <c r="I16" s="35">
        <v>49</v>
      </c>
      <c r="J16" s="36">
        <f t="shared" si="0"/>
        <v>1.2</v>
      </c>
    </row>
    <row r="17" ht="23.25" customHeight="1" spans="1:10" x14ac:dyDescent="0.25">
      <c r="A17" s="38" t="s">
        <v>40</v>
      </c>
      <c r="B17" s="39" t="s">
        <v>41</v>
      </c>
      <c r="C17" s="31">
        <v>78</v>
      </c>
      <c r="D17" s="32"/>
      <c r="E17" s="37">
        <f>VLOOKUP(A17,'Existencia Sistemaac'!$A$13:$AJ$90,10,FALSE)</f>
        <v>32342</v>
      </c>
      <c r="F17" s="34"/>
      <c r="G17" s="34" t="s">
        <v>31</v>
      </c>
      <c r="H17" s="33">
        <f t="shared" si="1"/>
        <v>414.64102564102564</v>
      </c>
      <c r="I17" s="35">
        <v>45</v>
      </c>
      <c r="J17" s="36">
        <f t="shared" si="0"/>
        <v>9.2</v>
      </c>
    </row>
    <row r="18" ht="23.25" customHeight="1" spans="1:10" x14ac:dyDescent="0.25">
      <c r="A18" s="38" t="s">
        <v>42</v>
      </c>
      <c r="B18" s="39" t="s">
        <v>43</v>
      </c>
      <c r="C18" s="31">
        <v>78</v>
      </c>
      <c r="D18" s="32"/>
      <c r="E18" s="33">
        <f>VLOOKUP(A18,'Existencia Sistemaac'!$A$13:$AJ$90,10,FALSE)</f>
        <v>13626</v>
      </c>
      <c r="F18" s="34"/>
      <c r="G18" s="32" t="s">
        <v>31</v>
      </c>
      <c r="H18" s="33">
        <f t="shared" si="1"/>
        <v>174.69230769230768</v>
      </c>
      <c r="I18" s="35">
        <v>7</v>
      </c>
      <c r="J18" s="36">
        <f t="shared" si="0"/>
        <v>25</v>
      </c>
    </row>
    <row r="19" ht="23.25" customHeight="1" spans="1:10" x14ac:dyDescent="0.25">
      <c r="A19" s="38" t="s">
        <v>44</v>
      </c>
      <c r="B19" s="39" t="s">
        <v>45</v>
      </c>
      <c r="C19" s="31">
        <v>78</v>
      </c>
      <c r="D19" s="32"/>
      <c r="E19" s="33">
        <f>VLOOKUP(A19,'Existencia Sistemaac'!$A$13:$AJ$90,10,FALSE)</f>
        <v>1</v>
      </c>
      <c r="F19" s="34"/>
      <c r="G19" s="32" t="s">
        <v>31</v>
      </c>
      <c r="H19" s="33">
        <f t="shared" si="1"/>
        <v>0.01282051282051282</v>
      </c>
      <c r="I19" s="35">
        <v>8</v>
      </c>
      <c r="J19" s="36">
        <f t="shared" si="0"/>
        <v>0</v>
      </c>
    </row>
    <row r="20" ht="23.25" customHeight="1" spans="1:10" x14ac:dyDescent="0.25">
      <c r="A20" s="38" t="s">
        <v>46</v>
      </c>
      <c r="B20" s="39" t="s">
        <v>47</v>
      </c>
      <c r="C20" s="31">
        <v>78</v>
      </c>
      <c r="D20" s="32"/>
      <c r="E20" s="48">
        <f>VLOOKUP(A20,'Existencia Sistemaac'!$A$13:$AJ$90,10,FALSE)</f>
        <v>5853</v>
      </c>
      <c r="F20" s="34"/>
      <c r="G20" s="32" t="s">
        <v>31</v>
      </c>
      <c r="H20" s="33">
        <f t="shared" si="1"/>
        <v>75.03846153846153</v>
      </c>
      <c r="I20" s="35">
        <v>9</v>
      </c>
      <c r="J20" s="36">
        <f t="shared" si="0"/>
        <v>8.3</v>
      </c>
    </row>
    <row r="21" ht="27.95" customHeight="1" spans="1:10" x14ac:dyDescent="0.25">
      <c r="A21" s="41" t="s">
        <v>48</v>
      </c>
      <c r="B21" s="42" t="s">
        <v>49</v>
      </c>
      <c r="C21" s="43">
        <v>160</v>
      </c>
      <c r="D21" s="44"/>
      <c r="E21" s="23">
        <f>VLOOKUP(A21,'Existencia Sistemaac'!$A$13:$AJ$90,10,FALSE)</f>
        <v>4800</v>
      </c>
      <c r="F21" s="44"/>
      <c r="G21" s="44" t="s">
        <v>31</v>
      </c>
      <c r="H21" s="23">
        <f t="shared" si="1"/>
        <v>30</v>
      </c>
      <c r="I21" s="46">
        <v>46</v>
      </c>
      <c r="J21" s="47">
        <f t="shared" si="0"/>
        <v>0.7</v>
      </c>
    </row>
    <row r="22" ht="27.95" customHeight="1" spans="1:10" x14ac:dyDescent="0.25">
      <c r="A22" s="38" t="s">
        <v>50</v>
      </c>
      <c r="B22" s="39" t="s">
        <v>51</v>
      </c>
      <c r="C22" s="31">
        <v>160</v>
      </c>
      <c r="D22" s="32"/>
      <c r="E22" s="33">
        <f>VLOOKUP(A22,'Existencia Sistemaac'!$A$13:$AJ$90,10,FALSE)</f>
        <v>3098</v>
      </c>
      <c r="F22" s="32"/>
      <c r="G22" s="32" t="s">
        <v>31</v>
      </c>
      <c r="H22" s="33">
        <f t="shared" si="1"/>
        <v>19.3625</v>
      </c>
      <c r="I22" s="35">
        <v>6</v>
      </c>
      <c r="J22" s="36">
        <f t="shared" si="0"/>
        <v>3.2</v>
      </c>
    </row>
    <row r="23" ht="27.95" customHeight="1" spans="1:10" x14ac:dyDescent="0.25">
      <c r="A23" s="38" t="s">
        <v>52</v>
      </c>
      <c r="B23" s="39" t="s">
        <v>53</v>
      </c>
      <c r="C23" s="31">
        <v>160</v>
      </c>
      <c r="D23" s="32"/>
      <c r="E23" s="33">
        <f>VLOOKUP(A23,'Existencia Sistemaac'!$A$13:$AJ$90,10,FALSE)</f>
        <v>13739</v>
      </c>
      <c r="F23" s="32"/>
      <c r="G23" s="32" t="s">
        <v>31</v>
      </c>
      <c r="H23" s="33">
        <f t="shared" si="1"/>
        <v>85.86875</v>
      </c>
      <c r="I23" s="35">
        <v>20</v>
      </c>
      <c r="J23" s="36">
        <f t="shared" si="0"/>
        <v>4.3</v>
      </c>
    </row>
    <row r="24" ht="27.95" customHeight="1" spans="1:10" x14ac:dyDescent="0.25">
      <c r="A24" s="38" t="s">
        <v>54</v>
      </c>
      <c r="B24" s="39" t="s">
        <v>55</v>
      </c>
      <c r="C24" s="31">
        <v>160</v>
      </c>
      <c r="D24" s="32"/>
      <c r="E24" s="33">
        <f>VLOOKUP(A24,'Existencia Sistemaac'!$A$13:$AJ$90,10,FALSE)</f>
        <v>2093</v>
      </c>
      <c r="F24" s="32"/>
      <c r="G24" s="49" t="s">
        <v>31</v>
      </c>
      <c r="H24" s="33">
        <f t="shared" si="1"/>
        <v>13.08125</v>
      </c>
      <c r="I24" s="35">
        <v>20</v>
      </c>
      <c r="J24" s="36">
        <f t="shared" si="0"/>
        <v>0.7</v>
      </c>
    </row>
    <row r="25" ht="27.95" customHeight="1" spans="1:12" x14ac:dyDescent="0.25">
      <c r="A25" s="38" t="s">
        <v>56</v>
      </c>
      <c r="B25" s="39" t="s">
        <v>57</v>
      </c>
      <c r="C25" s="31">
        <v>160</v>
      </c>
      <c r="D25" s="32"/>
      <c r="E25" s="33">
        <f>VLOOKUP(A25,'Existencia Sistemaac'!$A$13:$AJ$90,10,FALSE)</f>
        <v>2562</v>
      </c>
      <c r="F25" s="32"/>
      <c r="G25" s="32" t="s">
        <v>31</v>
      </c>
      <c r="H25" s="33">
        <f t="shared" si="1"/>
        <v>16.0125</v>
      </c>
      <c r="I25" s="35">
        <v>4</v>
      </c>
      <c r="J25" s="36">
        <f t="shared" si="0"/>
        <v>4</v>
      </c>
      <c r="L25" s="28"/>
    </row>
    <row r="26" ht="27.95" customHeight="1" spans="1:10" x14ac:dyDescent="0.25">
      <c r="A26" s="50" t="s">
        <v>58</v>
      </c>
      <c r="B26" s="51" t="s">
        <v>59</v>
      </c>
      <c r="C26" s="52">
        <v>50</v>
      </c>
      <c r="D26" s="53"/>
      <c r="E26" s="54">
        <f>VLOOKUP(A26,'Existencia Sistemaac'!$A$13:$AJ$90,10,FALSE)</f>
        <v>0</v>
      </c>
      <c r="F26" s="53"/>
      <c r="G26" s="45" t="s">
        <v>16</v>
      </c>
      <c r="H26" s="23">
        <f t="shared" si="1"/>
        <v>0</v>
      </c>
      <c r="I26" s="46">
        <v>108</v>
      </c>
      <c r="J26" s="47">
        <f t="shared" si="0"/>
        <v>0</v>
      </c>
    </row>
    <row r="27" ht="27.95" customHeight="1" spans="1:10" x14ac:dyDescent="0.25">
      <c r="A27" s="55" t="s">
        <v>60</v>
      </c>
      <c r="B27" s="56" t="s">
        <v>61</v>
      </c>
      <c r="C27" s="57">
        <v>50</v>
      </c>
      <c r="D27" s="58"/>
      <c r="E27" s="33">
        <f>VLOOKUP(A27,'Existencia Sistemaac'!$A$13:$AJ$90,10,FALSE)</f>
        <v>13984</v>
      </c>
      <c r="F27" s="58"/>
      <c r="G27" s="34" t="s">
        <v>16</v>
      </c>
      <c r="H27" s="33">
        <f t="shared" si="1"/>
        <v>279.68</v>
      </c>
      <c r="I27" s="35">
        <v>130</v>
      </c>
      <c r="J27" s="36">
        <f t="shared" si="0"/>
        <v>2.2</v>
      </c>
    </row>
    <row r="28" ht="27.95" customHeight="1" spans="1:10" x14ac:dyDescent="0.25">
      <c r="A28" s="55" t="s">
        <v>62</v>
      </c>
      <c r="B28" s="56" t="s">
        <v>63</v>
      </c>
      <c r="C28" s="57">
        <v>50</v>
      </c>
      <c r="D28" s="58"/>
      <c r="E28" s="33">
        <f>VLOOKUP(A28,'Existencia Sistemaac'!$A$13:$AJ$90,10,FALSE)</f>
        <v>12</v>
      </c>
      <c r="F28" s="58"/>
      <c r="G28" s="34" t="s">
        <v>16</v>
      </c>
      <c r="H28" s="33">
        <f t="shared" si="1"/>
        <v>0.24</v>
      </c>
      <c r="I28" s="35">
        <v>46</v>
      </c>
      <c r="J28" s="36">
        <f t="shared" si="0"/>
        <v>0</v>
      </c>
    </row>
    <row r="29" ht="27.95" customHeight="1" spans="1:10" x14ac:dyDescent="0.25">
      <c r="A29" s="55" t="s">
        <v>64</v>
      </c>
      <c r="B29" s="56" t="s">
        <v>65</v>
      </c>
      <c r="C29" s="57">
        <v>50</v>
      </c>
      <c r="D29" s="58"/>
      <c r="E29" s="33">
        <f>VLOOKUP(A29,'Existencia Sistemaac'!$A$13:$AJ$90,10,FALSE)</f>
        <v>3475</v>
      </c>
      <c r="F29" s="58"/>
      <c r="G29" s="34" t="s">
        <v>16</v>
      </c>
      <c r="H29" s="33">
        <f t="shared" si="1"/>
        <v>69.5</v>
      </c>
      <c r="I29" s="35">
        <v>80</v>
      </c>
      <c r="J29" s="36">
        <f t="shared" si="0"/>
        <v>0.9</v>
      </c>
    </row>
    <row r="30" ht="27.95" customHeight="1" spans="1:10" x14ac:dyDescent="0.25">
      <c r="A30" s="50" t="s">
        <v>66</v>
      </c>
      <c r="B30" s="51" t="s">
        <v>67</v>
      </c>
      <c r="C30" s="52">
        <v>160</v>
      </c>
      <c r="D30" s="53"/>
      <c r="E30" s="23">
        <f>VLOOKUP(A30,'Existencia Sistemaac'!$A$13:$AJ$90,10,FALSE)</f>
        <v>482</v>
      </c>
      <c r="F30" s="53"/>
      <c r="G30" s="45" t="s">
        <v>31</v>
      </c>
      <c r="H30" s="23">
        <f t="shared" si="1"/>
        <v>3.0125</v>
      </c>
      <c r="I30" s="46">
        <v>15</v>
      </c>
      <c r="J30" s="47">
        <f t="shared" si="0"/>
        <v>0.2</v>
      </c>
    </row>
    <row r="31" ht="27.95" customHeight="1" spans="1:10" x14ac:dyDescent="0.25">
      <c r="A31" s="55" t="s">
        <v>68</v>
      </c>
      <c r="B31" s="56" t="s">
        <v>69</v>
      </c>
      <c r="C31" s="57">
        <v>160</v>
      </c>
      <c r="D31" s="58"/>
      <c r="E31" s="33">
        <f>VLOOKUP(A31,'Existencia Sistemaac'!$A$13:$AJ$90,10,FALSE)</f>
        <v>124</v>
      </c>
      <c r="F31" s="58"/>
      <c r="G31" s="34" t="s">
        <v>31</v>
      </c>
      <c r="H31" s="33">
        <f t="shared" si="1"/>
        <v>0.775</v>
      </c>
      <c r="I31" s="35">
        <v>24</v>
      </c>
      <c r="J31" s="36">
        <f t="shared" si="0"/>
        <v>0</v>
      </c>
    </row>
    <row r="32" ht="27.95" customHeight="1" spans="1:10" x14ac:dyDescent="0.25">
      <c r="A32" s="55" t="s">
        <v>70</v>
      </c>
      <c r="B32" s="56" t="s">
        <v>71</v>
      </c>
      <c r="C32" s="57">
        <v>160</v>
      </c>
      <c r="D32" s="58"/>
      <c r="E32" s="33">
        <f>VLOOKUP(A32,'Existencia Sistemaac'!$A$13:$AJ$90,10,FALSE)</f>
        <v>0</v>
      </c>
      <c r="F32" s="58"/>
      <c r="G32" s="34" t="s">
        <v>31</v>
      </c>
      <c r="H32" s="33">
        <f t="shared" si="1"/>
        <v>0</v>
      </c>
      <c r="I32" s="35">
        <v>21</v>
      </c>
      <c r="J32" s="36">
        <f t="shared" si="0"/>
        <v>0</v>
      </c>
    </row>
    <row r="33" ht="27.95" customHeight="1" spans="1:10" x14ac:dyDescent="0.25">
      <c r="A33" s="55" t="s">
        <v>72</v>
      </c>
      <c r="B33" s="56" t="s">
        <v>73</v>
      </c>
      <c r="C33" s="57">
        <v>160</v>
      </c>
      <c r="D33" s="58"/>
      <c r="E33" s="33">
        <f>VLOOKUP(A33,'Existencia Sistemaac'!$A$13:$AJ$90,10,FALSE)</f>
        <v>8983</v>
      </c>
      <c r="F33" s="58"/>
      <c r="G33" s="34" t="s">
        <v>31</v>
      </c>
      <c r="H33" s="33">
        <f t="shared" si="1"/>
        <v>56.14375</v>
      </c>
      <c r="I33" s="35">
        <v>15</v>
      </c>
      <c r="J33" s="36">
        <f t="shared" si="0"/>
        <v>3.7</v>
      </c>
    </row>
    <row r="34" ht="27.95" customHeight="1" spans="1:10" x14ac:dyDescent="0.25">
      <c r="A34" s="50" t="s">
        <v>74</v>
      </c>
      <c r="B34" s="51" t="s">
        <v>75</v>
      </c>
      <c r="C34" s="52">
        <v>70</v>
      </c>
      <c r="D34" s="53"/>
      <c r="E34" s="23">
        <f>VLOOKUP(A34,'Existencia Sistemaac'!$A$13:$AJ$90,10,FALSE)</f>
        <v>0</v>
      </c>
      <c r="F34" s="53"/>
      <c r="G34" s="45" t="s">
        <v>16</v>
      </c>
      <c r="H34" s="23">
        <f t="shared" si="1"/>
        <v>0</v>
      </c>
      <c r="I34" s="46">
        <v>0</v>
      </c>
      <c r="J34" s="47">
        <f t="shared" si="0"/>
        <v>0</v>
      </c>
    </row>
    <row r="35" ht="27.95" customHeight="1" spans="1:10" x14ac:dyDescent="0.25">
      <c r="A35" s="55" t="s">
        <v>76</v>
      </c>
      <c r="B35" s="56" t="s">
        <v>77</v>
      </c>
      <c r="C35" s="57">
        <v>50</v>
      </c>
      <c r="D35" s="58"/>
      <c r="E35" s="33">
        <f>VLOOKUP(A35,'Existencia Sistemaac'!$A$13:$AJ$90,10,FALSE)</f>
        <v>0</v>
      </c>
      <c r="F35" s="58"/>
      <c r="G35" s="34" t="s">
        <v>16</v>
      </c>
      <c r="H35" s="33">
        <f t="shared" si="1"/>
        <v>0</v>
      </c>
      <c r="I35" s="35">
        <v>1</v>
      </c>
      <c r="J35" s="36">
        <f t="shared" si="0"/>
        <v>0</v>
      </c>
    </row>
    <row r="36" ht="27.95" customHeight="1" spans="1:10" x14ac:dyDescent="0.25">
      <c r="A36" s="55" t="s">
        <v>78</v>
      </c>
      <c r="B36" s="56" t="s">
        <v>79</v>
      </c>
      <c r="C36" s="57">
        <v>160</v>
      </c>
      <c r="D36" s="58"/>
      <c r="E36" s="33">
        <f>VLOOKUP(A36,'Existencia Sistemaac'!$A$13:$AJ$90,10,FALSE)</f>
        <v>0</v>
      </c>
      <c r="F36" s="58"/>
      <c r="G36" s="34" t="s">
        <v>31</v>
      </c>
      <c r="H36" s="33">
        <f t="shared" si="1"/>
        <v>0</v>
      </c>
      <c r="I36" s="35">
        <v>1</v>
      </c>
      <c r="J36" s="36">
        <f t="shared" si="0"/>
        <v>0</v>
      </c>
    </row>
    <row r="37" ht="27.95" customHeight="1" spans="1:10" x14ac:dyDescent="0.25">
      <c r="A37" s="55" t="s">
        <v>80</v>
      </c>
      <c r="B37" s="56" t="s">
        <v>81</v>
      </c>
      <c r="C37" s="57">
        <v>160</v>
      </c>
      <c r="D37" s="58"/>
      <c r="E37" s="33">
        <f>VLOOKUP(A37,'Existencia Sistemaac'!$A$13:$AJ$90,10,FALSE)</f>
        <v>0</v>
      </c>
      <c r="F37" s="58"/>
      <c r="G37" s="34" t="s">
        <v>31</v>
      </c>
      <c r="H37" s="33">
        <f>+E37/C37</f>
        <v>0</v>
      </c>
      <c r="I37" s="35">
        <v>0</v>
      </c>
      <c r="J37" s="36">
        <f t="shared" si="0"/>
        <v>0</v>
      </c>
    </row>
    <row r="38" ht="27.95" customHeight="1" spans="1:10" x14ac:dyDescent="0.25">
      <c r="A38" s="59" t="s">
        <v>82</v>
      </c>
      <c r="B38" s="60" t="s">
        <v>83</v>
      </c>
      <c r="C38" s="61">
        <v>84</v>
      </c>
      <c r="D38" s="62"/>
      <c r="E38" s="63">
        <f>VLOOKUP(A38,'Existencia Sistemaac'!$A$13:$AJ$90,10,FALSE)</f>
        <v>50</v>
      </c>
      <c r="F38" s="62"/>
      <c r="G38" s="64" t="s">
        <v>16</v>
      </c>
      <c r="H38" s="33">
        <f t="shared" si="1"/>
        <v>0.5952380952380952</v>
      </c>
      <c r="I38" s="35">
        <v>0</v>
      </c>
      <c r="J38" s="36">
        <f t="shared" si="0"/>
        <v>0</v>
      </c>
    </row>
    <row r="39" ht="27.95" customHeight="1" spans="1:10" x14ac:dyDescent="0.25">
      <c r="A39" s="59" t="s">
        <v>84</v>
      </c>
      <c r="B39" s="60" t="s">
        <v>85</v>
      </c>
      <c r="C39" s="61">
        <v>50</v>
      </c>
      <c r="D39" s="62"/>
      <c r="E39" s="65">
        <f>VLOOKUP(A39,'Existencia Sistemaac'!$A$13:$AJ$90,10,FALSE)</f>
        <v>6584</v>
      </c>
      <c r="F39" s="62"/>
      <c r="G39" s="64" t="s">
        <v>16</v>
      </c>
      <c r="H39" s="33">
        <f t="shared" si="1"/>
        <v>131.68</v>
      </c>
      <c r="I39" s="35">
        <v>14</v>
      </c>
      <c r="J39" s="36">
        <f t="shared" si="0"/>
        <v>9.4</v>
      </c>
    </row>
    <row r="40" ht="27.95" customHeight="1" spans="1:10" x14ac:dyDescent="0.25">
      <c r="A40" s="59" t="s">
        <v>86</v>
      </c>
      <c r="B40" s="60" t="s">
        <v>87</v>
      </c>
      <c r="C40" s="61">
        <v>136</v>
      </c>
      <c r="D40" s="62"/>
      <c r="E40" s="63">
        <f>VLOOKUP(A40,'Existencia Sistemaac'!$A$13:$AJ$90,10,FALSE)</f>
        <v>28203</v>
      </c>
      <c r="F40" s="62"/>
      <c r="G40" s="64" t="s">
        <v>16</v>
      </c>
      <c r="H40" s="33">
        <f t="shared" si="1"/>
        <v>207.375</v>
      </c>
      <c r="I40" s="35">
        <v>27</v>
      </c>
      <c r="J40" s="36">
        <f t="shared" si="0"/>
        <v>7.7</v>
      </c>
    </row>
    <row r="41" ht="27.95" customHeight="1" spans="1:10" x14ac:dyDescent="0.25">
      <c r="A41" s="66" t="s">
        <v>88</v>
      </c>
      <c r="B41" s="67" t="s">
        <v>89</v>
      </c>
      <c r="C41" s="68">
        <v>160</v>
      </c>
      <c r="D41" s="69"/>
      <c r="E41" s="33">
        <f>VLOOKUP(A41,'Existencia Sistemaac'!$A$13:$AJ$90,10,FALSE)</f>
        <v>8723</v>
      </c>
      <c r="F41" s="69"/>
      <c r="G41" s="70" t="s">
        <v>16</v>
      </c>
      <c r="H41" s="48">
        <f t="shared" si="1"/>
        <v>54.51875</v>
      </c>
      <c r="I41" s="35">
        <v>2</v>
      </c>
      <c r="J41" s="36">
        <f t="shared" si="0"/>
        <v>27.3</v>
      </c>
    </row>
    <row r="42" ht="27.95" customHeight="1" spans="1:10" x14ac:dyDescent="0.25">
      <c r="A42" s="66" t="s">
        <v>90</v>
      </c>
      <c r="B42" s="67" t="s">
        <v>91</v>
      </c>
      <c r="C42" s="68">
        <v>160</v>
      </c>
      <c r="D42" s="69"/>
      <c r="E42" s="48">
        <f>VLOOKUP(A42,'Existencia Sistemaac'!$A$13:$AJ$90,10,FALSE)</f>
        <v>2774</v>
      </c>
      <c r="F42" s="69"/>
      <c r="G42" s="70" t="s">
        <v>16</v>
      </c>
      <c r="H42" s="48">
        <f>+E42/C42</f>
        <v>17.3375</v>
      </c>
      <c r="I42" s="35">
        <v>0</v>
      </c>
      <c r="J42" s="36">
        <f t="shared" si="0"/>
        <v>0</v>
      </c>
    </row>
    <row r="43" ht="27.95" customHeight="1" spans="1:10" x14ac:dyDescent="0.25">
      <c r="A43" s="71" t="s">
        <v>92</v>
      </c>
      <c r="B43" s="72" t="s">
        <v>93</v>
      </c>
      <c r="C43" s="73">
        <v>160</v>
      </c>
      <c r="D43" s="74"/>
      <c r="E43" s="75">
        <f>VLOOKUP(A43,'Existencia Sistemaac'!$A$13:$AJ$90,10,FALSE)</f>
        <v>0</v>
      </c>
      <c r="F43" s="74"/>
      <c r="G43" s="76" t="s">
        <v>16</v>
      </c>
      <c r="H43" s="77">
        <f>+E43/C43</f>
        <v>0</v>
      </c>
      <c r="I43" s="78">
        <v>0</v>
      </c>
      <c r="J43" s="79">
        <f t="shared" si="0"/>
        <v>0</v>
      </c>
    </row>
    <row r="44" ht="3.95" customHeight="1" spans="1:8" x14ac:dyDescent="0.25">
      <c r="A44" s="80"/>
      <c r="B44" s="80"/>
      <c r="E44" s="28"/>
      <c r="F44" s="28"/>
      <c r="G44" s="28"/>
      <c r="H44" s="81"/>
    </row>
    <row r="45" ht="26.25" customHeight="1" spans="1:8" x14ac:dyDescent="0.25">
      <c r="A45" s="82"/>
      <c r="B45" s="82"/>
      <c r="C45" s="82"/>
      <c r="D45" s="82"/>
      <c r="E45" s="83">
        <f>SUM(E5:E44)</f>
        <v>388009</v>
      </c>
      <c r="F45" s="82"/>
      <c r="G45" s="82"/>
      <c r="H45" s="84">
        <f>SUM(H5:H44)</f>
        <v>4613.475366300366</v>
      </c>
    </row>
    <row r="46" ht="15" customHeight="1" spans="1:8" x14ac:dyDescent="0.25">
      <c r="A46" s="80"/>
      <c r="B46" s="80"/>
      <c r="E46" s="28"/>
      <c r="F46" s="28"/>
      <c r="G46" s="28"/>
      <c r="H46" s="81"/>
    </row>
    <row r="47" ht="21" customHeight="1" spans="1:8" x14ac:dyDescent="0.25">
      <c r="A47" s="80"/>
      <c r="B47" s="80"/>
      <c r="E47" s="28"/>
      <c r="F47" s="28"/>
      <c r="G47" s="28"/>
      <c r="H47" s="81"/>
    </row>
    <row r="48" ht="21" customHeight="1" spans="5:8" x14ac:dyDescent="0.25">
      <c r="E48" s="28"/>
      <c r="F48" s="28"/>
      <c r="G48" s="28"/>
      <c r="H48" s="81"/>
    </row>
    <row r="49" ht="21" customHeight="1" spans="5:8" x14ac:dyDescent="0.25">
      <c r="E49" s="28"/>
      <c r="F49" s="28"/>
      <c r="G49" s="28"/>
      <c r="H49" s="81"/>
    </row>
    <row r="50" ht="21" customHeight="1" spans="5:8" x14ac:dyDescent="0.25">
      <c r="E50" s="28"/>
      <c r="F50" s="28"/>
      <c r="G50" s="28"/>
      <c r="H50" s="81"/>
    </row>
    <row r="51" ht="21" customHeight="1" spans="5:8" x14ac:dyDescent="0.25">
      <c r="E51" s="28"/>
      <c r="F51" s="28"/>
      <c r="G51" s="28"/>
      <c r="H51" s="81"/>
    </row>
    <row r="52" ht="21" customHeight="1" spans="5:8" x14ac:dyDescent="0.25">
      <c r="E52" s="28"/>
      <c r="F52" s="28"/>
      <c r="G52" s="28"/>
      <c r="H52" s="81"/>
    </row>
    <row r="53" ht="21" customHeight="1" spans="5:8" x14ac:dyDescent="0.25">
      <c r="E53" s="28"/>
      <c r="F53" s="28"/>
      <c r="G53" s="28"/>
      <c r="H53" s="81"/>
    </row>
    <row r="54" ht="21" customHeight="1" spans="5:8" x14ac:dyDescent="0.25">
      <c r="E54" s="28"/>
      <c r="F54" s="28"/>
      <c r="G54" s="28"/>
      <c r="H54" s="81"/>
    </row>
    <row r="55" ht="21" customHeight="1" spans="5:8" x14ac:dyDescent="0.25">
      <c r="E55" s="28"/>
      <c r="F55" s="28"/>
      <c r="G55" s="28"/>
      <c r="H55" s="81"/>
    </row>
    <row r="56" ht="21" customHeight="1" spans="5:8" x14ac:dyDescent="0.25">
      <c r="E56" s="28"/>
      <c r="F56" s="28"/>
      <c r="G56" s="28"/>
      <c r="H56" s="81"/>
    </row>
    <row r="57" ht="21" customHeight="1" spans="5:8" x14ac:dyDescent="0.25">
      <c r="E57" s="85"/>
      <c r="F57" s="28"/>
      <c r="G57" s="28"/>
      <c r="H57" s="81"/>
    </row>
    <row r="58" ht="21" customHeight="1" spans="5:8" x14ac:dyDescent="0.25">
      <c r="E58" s="28"/>
      <c r="F58" s="28"/>
      <c r="G58" s="28"/>
      <c r="H58" s="81"/>
    </row>
    <row r="59" ht="21" customHeight="1" spans="5:8" x14ac:dyDescent="0.25">
      <c r="E59" s="85"/>
      <c r="F59" s="28"/>
      <c r="G59" s="28"/>
      <c r="H59" s="81"/>
    </row>
    <row r="60" ht="21" customHeight="1" spans="5:8" x14ac:dyDescent="0.25">
      <c r="E60" s="28"/>
      <c r="F60" s="28"/>
      <c r="G60" s="28"/>
      <c r="H60" s="81"/>
    </row>
    <row r="61" ht="21" customHeight="1" spans="5:8" x14ac:dyDescent="0.25">
      <c r="E61" s="85"/>
      <c r="F61" s="28"/>
      <c r="G61" s="28"/>
      <c r="H61" s="81"/>
    </row>
    <row r="62" ht="21" customHeight="1" spans="5:8" x14ac:dyDescent="0.25">
      <c r="E62" s="28"/>
      <c r="F62" s="28"/>
      <c r="G62" s="28"/>
      <c r="H62" s="81"/>
    </row>
    <row r="63" ht="21" customHeight="1" spans="5:8" x14ac:dyDescent="0.25">
      <c r="E63" s="85"/>
      <c r="F63" s="28"/>
      <c r="G63" s="28"/>
      <c r="H63" s="81"/>
    </row>
    <row r="64" ht="21" customHeight="1" spans="5:8" x14ac:dyDescent="0.25">
      <c r="E64" s="85"/>
      <c r="F64" s="28"/>
      <c r="G64" s="28"/>
      <c r="H64" s="81"/>
    </row>
    <row r="65" ht="21" customHeight="1" spans="5:8" x14ac:dyDescent="0.25">
      <c r="E65" s="85"/>
      <c r="H65" s="81"/>
    </row>
    <row r="66" ht="21" customHeight="1" spans="5:8" x14ac:dyDescent="0.25">
      <c r="E66" s="85"/>
      <c r="H66" s="81"/>
    </row>
    <row r="67" ht="21" customHeight="1" spans="5:8" x14ac:dyDescent="0.25">
      <c r="E67" s="85"/>
      <c r="H67" s="81"/>
    </row>
    <row r="68" ht="21" customHeight="1" spans="5:8" x14ac:dyDescent="0.25">
      <c r="E68" s="85"/>
      <c r="H68" s="81"/>
    </row>
    <row r="69" ht="21" customHeight="1" spans="5:8" x14ac:dyDescent="0.25">
      <c r="E69" s="85"/>
      <c r="H69" s="81"/>
    </row>
    <row r="70" ht="21" customHeight="1" spans="5:8" x14ac:dyDescent="0.25">
      <c r="E70" s="85"/>
      <c r="H70" s="81"/>
    </row>
    <row r="72" spans="5:5" x14ac:dyDescent="0.25">
      <c r="E72" s="28"/>
    </row>
    <row r="75" spans="7:7" x14ac:dyDescent="0.25">
      <c r="G75" s="86"/>
    </row>
  </sheetData>
  <conditionalFormatting sqref="D1">
    <cfRule type="cellIs" dxfId="0" priority="70" operator="equal">
      <formula>0</formula>
    </cfRule>
  </conditionalFormatting>
  <conditionalFormatting sqref="D2">
    <cfRule type="cellIs" dxfId="1" priority="69" operator="equal">
      <formula>0</formula>
    </cfRule>
  </conditionalFormatting>
  <conditionalFormatting sqref="H5">
    <cfRule type="cellIs" dxfId="2" priority="80" operator="lessThan">
      <formula>1000</formula>
    </cfRule>
    <cfRule type="cellIs" dxfId="3" priority="81" operator="greaterThan">
      <formula>1500</formula>
    </cfRule>
  </conditionalFormatting>
  <conditionalFormatting sqref="H6">
    <cfRule type="cellIs" dxfId="4" priority="78" operator="lessThan">
      <formula>300</formula>
    </cfRule>
    <cfRule type="cellIs" dxfId="5" priority="79" operator="greaterThan">
      <formula>500</formula>
    </cfRule>
  </conditionalFormatting>
  <conditionalFormatting sqref="H7">
    <cfRule type="cellIs" dxfId="6" priority="76" operator="lessThan">
      <formula>500</formula>
    </cfRule>
    <cfRule type="cellIs" dxfId="7" priority="77" operator="greaterThan">
      <formula>800</formula>
    </cfRule>
  </conditionalFormatting>
  <conditionalFormatting sqref="H8:H9">
    <cfRule type="cellIs" dxfId="8" priority="71" operator="lessThan">
      <formula>200</formula>
    </cfRule>
    <cfRule type="cellIs" dxfId="9" priority="72" operator="greaterThan">
      <formula>300</formula>
    </cfRule>
  </conditionalFormatting>
  <conditionalFormatting sqref="H10">
    <cfRule type="cellIs" dxfId="10" priority="67" operator="lessThan">
      <formula>500</formula>
    </cfRule>
    <cfRule type="cellIs" dxfId="11" priority="68" operator="greaterThan">
      <formula>800</formula>
    </cfRule>
  </conditionalFormatting>
  <conditionalFormatting sqref="H11">
    <cfRule type="cellIs" dxfId="12" priority="65" operator="lessThan">
      <formula>10</formula>
    </cfRule>
    <cfRule type="cellIs" dxfId="13" priority="66" operator="greaterThan">
      <formula>80</formula>
    </cfRule>
  </conditionalFormatting>
  <conditionalFormatting sqref="H12">
    <cfRule type="cellIs" dxfId="14" priority="63" operator="lessThan">
      <formula>200</formula>
    </cfRule>
    <cfRule type="cellIs" dxfId="15" priority="64" operator="greaterThan">
      <formula>300</formula>
    </cfRule>
  </conditionalFormatting>
  <conditionalFormatting sqref="H13">
    <cfRule type="cellIs" dxfId="16" priority="61" operator="lessThan">
      <formula>50</formula>
    </cfRule>
    <cfRule type="cellIs" dxfId="17" priority="62" operator="greaterThan">
      <formula>100</formula>
    </cfRule>
  </conditionalFormatting>
  <conditionalFormatting sqref="H14">
    <cfRule type="cellIs" dxfId="18" priority="59" operator="lessThan">
      <formula>400</formula>
    </cfRule>
    <cfRule type="cellIs" dxfId="19" priority="60" operator="greaterThan">
      <formula>1300</formula>
    </cfRule>
  </conditionalFormatting>
  <conditionalFormatting sqref="H15:H17">
    <cfRule type="cellIs" dxfId="20" priority="55" operator="lessThan">
      <formula>200</formula>
    </cfRule>
    <cfRule type="cellIs" dxfId="21" priority="56" operator="greaterThan">
      <formula>400</formula>
    </cfRule>
  </conditionalFormatting>
  <conditionalFormatting sqref="H18:H19">
    <cfRule type="cellIs" dxfId="22" priority="49" operator="lessThan">
      <formula>200</formula>
    </cfRule>
    <cfRule type="cellIs" dxfId="23" priority="50" operator="greaterThan">
      <formula>400</formula>
    </cfRule>
  </conditionalFormatting>
  <conditionalFormatting sqref="H20">
    <cfRule type="cellIs" dxfId="24" priority="51" operator="lessThan">
      <formula>0</formula>
    </cfRule>
    <cfRule type="cellIs" dxfId="25" priority="52" operator="equal">
      <formula>0</formula>
    </cfRule>
  </conditionalFormatting>
  <conditionalFormatting sqref="H21">
    <cfRule type="cellIs" dxfId="26" priority="47" operator="lessThan">
      <formula>100</formula>
    </cfRule>
    <cfRule type="cellIs" dxfId="27" priority="48" operator="greaterThan">
      <formula>250</formula>
    </cfRule>
  </conditionalFormatting>
  <conditionalFormatting sqref="H22:H23">
    <cfRule type="cellIs" dxfId="28" priority="43" operator="lessThan">
      <formula>50</formula>
    </cfRule>
    <cfRule type="cellIs" dxfId="29" priority="44" operator="greaterThan">
      <formula>150</formula>
    </cfRule>
  </conditionalFormatting>
  <conditionalFormatting sqref="H24">
    <cfRule type="cellIs" dxfId="30" priority="41" operator="lessThan">
      <formula>50</formula>
    </cfRule>
    <cfRule type="cellIs" dxfId="31" priority="42" operator="greaterThan">
      <formula>150</formula>
    </cfRule>
  </conditionalFormatting>
  <conditionalFormatting sqref="H25">
    <cfRule type="cellIs" dxfId="32" priority="37" operator="lessThan">
      <formula>5</formula>
    </cfRule>
    <cfRule type="cellIs" dxfId="33" priority="38" operator="greaterThan">
      <formula>50</formula>
    </cfRule>
  </conditionalFormatting>
  <conditionalFormatting sqref="H26:H27">
    <cfRule type="cellIs" dxfId="34" priority="33" operator="lessThan">
      <formula>500</formula>
    </cfRule>
    <cfRule type="cellIs" dxfId="35" priority="34" operator="greaterThan">
      <formula>1500</formula>
    </cfRule>
  </conditionalFormatting>
  <conditionalFormatting sqref="H28:H29">
    <cfRule type="cellIs" dxfId="36" priority="7" operator="lessThan">
      <formula>500</formula>
    </cfRule>
  </conditionalFormatting>
  <conditionalFormatting sqref="H28">
    <cfRule type="cellIs" dxfId="37" priority="32" operator="greaterThan">
      <formula>1500</formula>
    </cfRule>
  </conditionalFormatting>
  <conditionalFormatting sqref="H29">
    <cfRule type="cellIs" dxfId="38" priority="28" operator="greaterThan">
      <formula>800</formula>
    </cfRule>
  </conditionalFormatting>
  <conditionalFormatting sqref="H30:H33">
    <cfRule type="cellIs" dxfId="39" priority="12" operator="lessThan">
      <formula>500</formula>
    </cfRule>
    <cfRule type="cellIs" dxfId="40" priority="13" operator="greaterThan">
      <formula>800</formula>
    </cfRule>
  </conditionalFormatting>
  <conditionalFormatting sqref="H34:H35 H38:H43">
    <cfRule type="cellIs" dxfId="41" priority="25" operator="lessThan">
      <formula>200</formula>
    </cfRule>
    <cfRule type="cellIs" dxfId="42" priority="26" operator="greaterThan">
      <formula>600</formula>
    </cfRule>
  </conditionalFormatting>
  <conditionalFormatting sqref="H36:H37">
    <cfRule type="cellIs" dxfId="43" priority="5" operator="lessThan">
      <formula>500</formula>
    </cfRule>
    <cfRule type="cellIs" dxfId="44" priority="6" operator="greaterThan">
      <formula>800</formula>
    </cfRule>
  </conditionalFormatting>
  <conditionalFormatting sqref="J5:J43">
    <cfRule type="cellIs" dxfId="45" priority="1" operator="greaterThan">
      <formula>4</formula>
    </cfRule>
    <cfRule type="cellIs" dxfId="46" priority="3" operator="lessThan">
      <formula>4</formula>
    </cfRule>
  </conditionalFormatting>
  <pageMargins left="0" right="0" top="0.5905511811023623" bottom="0" header="0" footer="0"/>
  <pageSetup orientation="portrait" horizontalDpi="4294967293" verticalDpi="4294967295" scale="51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10"/>
  <sheetViews>
    <sheetView workbookViewId="0" zoomScale="80" zoomScaleNormal="80">
      <selection activeCell="B25" sqref="B25"/>
    </sheetView>
  </sheetViews>
  <sheetFormatPr defaultRowHeight="15" outlineLevelRow="0" outlineLevelCol="0" x14ac:dyDescent="0.25"/>
  <cols>
    <col min="1" max="1" width="17.140625" customWidth="1"/>
    <col min="9" max="9" width="4.28515625" customWidth="1"/>
    <col min="10" max="10" width="19.28515625" customWidth="1"/>
    <col min="11" max="11" width="2.7109375" customWidth="1"/>
    <col min="12" max="12" width="7.42578125" customWidth="1"/>
    <col min="13" max="13" width="15.140625" hidden="1" customWidth="1"/>
    <col min="14" max="14" width="13.7109375" hidden="1" customWidth="1"/>
    <col min="15" max="15" width="12.7109375" hidden="1" customWidth="1"/>
    <col min="16" max="16" width="15.140625" hidden="1" customWidth="1"/>
    <col min="17" max="17" width="13.28515625" customWidth="1"/>
    <col min="18" max="18" width="18.140625" hidden="1" customWidth="1"/>
    <col min="19" max="19" width="46.85546875" hidden="1" customWidth="1"/>
    <col min="20" max="20" width="11.42578125" hidden="1" customWidth="1"/>
    <col min="21" max="21" width="23" hidden="1" customWidth="1"/>
    <col min="22" max="22" width="19.5703125" hidden="1" customWidth="1"/>
    <col min="23" max="23" width="17.42578125" hidden="1" customWidth="1"/>
    <col min="24" max="27" width="11.42578125" hidden="1" customWidth="1"/>
    <col min="28" max="28" width="19.5703125" hidden="1" customWidth="1"/>
    <col min="29" max="29" width="16.140625" hidden="1" customWidth="1"/>
    <col min="30" max="31" hidden="1" customWidth="1"/>
    <col min="32" max="32" width="48.7109375" hidden="1" customWidth="1"/>
    <col min="33" max="33" width="15.5703125" hidden="1" customWidth="1"/>
    <col min="34" max="34" hidden="1" customWidth="1"/>
    <col min="35" max="35" width="18.85546875" customWidth="1"/>
    <col min="36" max="36" width="17.28515625" customWidth="1"/>
    <col min="37" max="37" width="2.140625" customWidth="1"/>
    <col min="38" max="38" width="0.28515625" customWidth="1"/>
    <col min="39" max="39" width="3.42578125" customWidth="1"/>
    <col min="41" max="41" width="15.28515625" customWidth="1"/>
  </cols>
  <sheetData>
    <row r="1" ht="15.75" customHeight="1" spans="1:36" x14ac:dyDescent="0.25">
      <c r="A1" t="s">
        <v>0</v>
      </c>
      <c r="D1" t="s">
        <v>94</v>
      </c>
      <c r="I1" s="1"/>
      <c r="J1" s="2" t="s">
        <v>1</v>
      </c>
      <c r="K1" s="3"/>
      <c r="M1" s="87"/>
      <c r="O1" s="88"/>
      <c r="AJ1" s="4">
        <v>46323</v>
      </c>
    </row>
    <row r="2" ht="15.75" customHeight="1" spans="1:36" x14ac:dyDescent="0.25">
      <c r="A2" t="s">
        <v>2</v>
      </c>
      <c r="I2" s="5"/>
      <c r="J2" s="6" t="s">
        <v>3</v>
      </c>
      <c r="K2" s="7"/>
      <c r="AJ2" s="8">
        <v>0.3333333333321207</v>
      </c>
    </row>
    <row r="3" ht="16.5" customHeight="1" spans="1:11" x14ac:dyDescent="0.25">
      <c r="A3" t="s">
        <v>4</v>
      </c>
      <c r="I3" s="9"/>
      <c r="J3" s="10" t="s">
        <v>5</v>
      </c>
      <c r="K3" s="11"/>
    </row>
    <row r="4" ht="15.75" customHeight="1" hidden="1" spans="1:2" x14ac:dyDescent="0.25">
      <c r="B4" t="s">
        <v>95</v>
      </c>
    </row>
    <row r="5" ht="15.75" customHeight="1" hidden="1" spans="1:2" x14ac:dyDescent="0.25">
      <c r="B5" t="s">
        <v>96</v>
      </c>
    </row>
    <row r="6" ht="15.75" customHeight="1" hidden="1" spans="1:2" x14ac:dyDescent="0.25">
      <c r="B6" t="s">
        <v>97</v>
      </c>
    </row>
    <row r="7" ht="15.75" customHeight="1" hidden="1" spans="1:2" x14ac:dyDescent="0.25">
      <c r="B7" t="s">
        <v>98</v>
      </c>
    </row>
    <row r="8" ht="15.75" customHeight="1" hidden="1" spans="1:18" x14ac:dyDescent="0.25">
      <c r="B8" t="s">
        <v>99</v>
      </c>
      <c r="R8" s="89"/>
    </row>
    <row r="9" ht="15.75" customHeight="1" hidden="1" spans="1:17" x14ac:dyDescent="0.25">
      <c r="B9" t="s">
        <v>100</v>
      </c>
      <c r="O9" s="28"/>
      <c r="Q9" s="28"/>
    </row>
    <row r="10" ht="15.75" customHeight="1" hidden="1" spans="1:17" x14ac:dyDescent="0.25">
      <c r="B10" t="s">
        <v>101</v>
      </c>
      <c r="Q10" s="28"/>
    </row>
    <row r="11" ht="15.75" customHeight="1" hidden="1" spans="1:23" x14ac:dyDescent="0.25">
      <c r="B11" t="s">
        <v>102</v>
      </c>
      <c r="U11" s="28"/>
      <c r="W11" s="28"/>
    </row>
    <row r="12" ht="15.75" customHeight="1" hidden="1" spans="1:23" x14ac:dyDescent="0.25">
      <c r="B12" t="s">
        <v>103</v>
      </c>
      <c r="U12" s="28"/>
      <c r="W12" s="28"/>
    </row>
    <row r="13" ht="35.1" customHeight="1" spans="1:36" s="12" customFormat="1" x14ac:dyDescent="0.25">
      <c r="A13" s="13" t="s">
        <v>6</v>
      </c>
      <c r="B13" s="14" t="s">
        <v>7</v>
      </c>
      <c r="C13" s="14"/>
      <c r="D13" s="14"/>
      <c r="E13" s="14"/>
      <c r="F13" s="14"/>
      <c r="G13" s="14"/>
      <c r="H13" s="15" t="s">
        <v>8</v>
      </c>
      <c r="I13" s="14"/>
      <c r="J13" s="14" t="s">
        <v>9</v>
      </c>
      <c r="K13" s="14"/>
      <c r="L13" s="14" t="s">
        <v>10</v>
      </c>
      <c r="M13" s="90" t="s">
        <v>104</v>
      </c>
      <c r="N13" s="91" t="s">
        <v>105</v>
      </c>
      <c r="O13" s="91" t="s">
        <v>106</v>
      </c>
      <c r="P13" s="92" t="s">
        <v>107</v>
      </c>
      <c r="Q13" s="16" t="s">
        <v>11</v>
      </c>
      <c r="R13" s="93"/>
      <c r="S13" s="94"/>
      <c r="T13" s="94"/>
      <c r="U13" s="95"/>
      <c r="V13" s="94"/>
      <c r="W13" s="95"/>
      <c r="X13" s="94"/>
      <c r="Y13" s="94"/>
      <c r="Z13" s="94"/>
      <c r="AA13" s="94"/>
      <c r="AB13" s="96"/>
      <c r="AC13" s="96"/>
      <c r="AD13" s="94"/>
      <c r="AE13" s="94"/>
      <c r="AF13" s="94"/>
      <c r="AG13" s="94"/>
      <c r="AH13" s="94"/>
      <c r="AI13" s="17" t="s">
        <v>12</v>
      </c>
      <c r="AJ13" s="18" t="s">
        <v>13</v>
      </c>
    </row>
    <row r="14" ht="15" customHeight="1" hidden="1" spans="1:31" x14ac:dyDescent="0.25">
      <c r="A14" s="82" t="s">
        <v>108</v>
      </c>
      <c r="B14" s="82" t="s">
        <v>109</v>
      </c>
      <c r="C14" s="82"/>
      <c r="D14" s="82"/>
      <c r="E14" s="82"/>
      <c r="F14" s="82"/>
      <c r="G14" s="82"/>
      <c r="H14" s="82">
        <v>70</v>
      </c>
      <c r="I14" s="82"/>
      <c r="J14" s="97">
        <f t="shared" ref="J14:J19" si="0">+IFERROR(VLOOKUP(A14,$R$26:$U$119,4,FALSE),0)</f>
        <v>0</v>
      </c>
      <c r="K14" s="82"/>
      <c r="L14" s="82" t="s">
        <v>16</v>
      </c>
      <c r="M14" s="98">
        <f t="shared" ref="M14:M77" si="1">+J14-N14</f>
        <v>0</v>
      </c>
      <c r="N14" s="97">
        <f t="shared" ref="N14:N19" si="2">+J14</f>
        <v>0</v>
      </c>
      <c r="O14" s="99"/>
      <c r="P14" s="100">
        <f t="shared" ref="P14:P23" si="3">J14-IFERROR(VLOOKUP(A14,$R$26:$U$119,4,FALSE),0)+0</f>
        <v>0</v>
      </c>
      <c r="Q14" s="101"/>
      <c r="R14" s="102"/>
      <c r="S14" s="28"/>
      <c r="T14" s="28"/>
      <c r="U14" s="28"/>
      <c r="W14" s="28"/>
      <c r="AB14" s="103"/>
      <c r="AC14" s="104">
        <f>+IFERROR(VLOOKUP(T14,$R$26:$U$119,4,FALSE),0)</f>
        <v>0</v>
      </c>
      <c r="AE14" s="28"/>
    </row>
    <row r="15" ht="15.75" customHeight="1" hidden="1" spans="1:31" x14ac:dyDescent="0.25">
      <c r="A15" t="s">
        <v>110</v>
      </c>
      <c r="B15" t="s">
        <v>111</v>
      </c>
      <c r="H15">
        <v>70</v>
      </c>
      <c r="J15" s="104">
        <f t="shared" si="0"/>
        <v>0</v>
      </c>
      <c r="L15" t="s">
        <v>16</v>
      </c>
      <c r="M15" s="105">
        <f t="shared" si="1"/>
        <v>0</v>
      </c>
      <c r="N15" s="104">
        <f t="shared" si="2"/>
        <v>0</v>
      </c>
      <c r="O15" s="28"/>
      <c r="P15" s="106">
        <f t="shared" si="3"/>
        <v>0</v>
      </c>
      <c r="Q15" s="81"/>
      <c r="R15" s="28"/>
      <c r="T15" s="28"/>
      <c r="U15" s="103"/>
      <c r="V15" s="103"/>
      <c r="W15" s="28"/>
      <c r="AB15" s="103"/>
      <c r="AC15" s="104">
        <f>+IFERROR(VLOOKUP(T15,$R$26:$U$119,4,FALSE),0)</f>
        <v>0</v>
      </c>
      <c r="AE15" s="28"/>
    </row>
    <row r="16" ht="21" customHeight="1" hidden="1" spans="1:31" x14ac:dyDescent="0.25">
      <c r="A16" s="80" t="s">
        <v>112</v>
      </c>
      <c r="B16" s="80" t="s">
        <v>113</v>
      </c>
      <c r="C16" s="80"/>
      <c r="D16" s="80"/>
      <c r="H16">
        <v>70</v>
      </c>
      <c r="J16" s="104">
        <f t="shared" si="0"/>
        <v>0</v>
      </c>
      <c r="L16" t="s">
        <v>16</v>
      </c>
      <c r="M16" s="105">
        <f t="shared" si="1"/>
        <v>0</v>
      </c>
      <c r="N16" s="104">
        <f t="shared" si="2"/>
        <v>0</v>
      </c>
      <c r="O16" s="28"/>
      <c r="P16" s="106">
        <f t="shared" si="3"/>
        <v>0</v>
      </c>
      <c r="Q16" s="81"/>
      <c r="T16" s="28"/>
      <c r="U16" s="103"/>
      <c r="V16" s="103"/>
      <c r="W16" s="103"/>
      <c r="AC16" s="104">
        <f>+IFERROR(VLOOKUP(T16,$R$26:$U$119,4,FALSE),0)</f>
        <v>0</v>
      </c>
      <c r="AE16" s="28"/>
    </row>
    <row r="17" ht="21" customHeight="1" hidden="1" spans="1:31" x14ac:dyDescent="0.25">
      <c r="A17" s="80" t="s">
        <v>114</v>
      </c>
      <c r="B17" s="80" t="s">
        <v>115</v>
      </c>
      <c r="C17" s="80"/>
      <c r="D17" s="80"/>
      <c r="H17">
        <v>70</v>
      </c>
      <c r="J17" s="104">
        <f t="shared" si="0"/>
        <v>0</v>
      </c>
      <c r="L17" t="s">
        <v>16</v>
      </c>
      <c r="M17" s="105">
        <f t="shared" si="1"/>
        <v>0</v>
      </c>
      <c r="N17" s="104">
        <f t="shared" si="2"/>
        <v>0</v>
      </c>
      <c r="O17" s="28"/>
      <c r="P17" s="106">
        <f t="shared" si="3"/>
        <v>0</v>
      </c>
      <c r="Q17" s="81"/>
      <c r="T17" s="28"/>
      <c r="U17" s="103"/>
      <c r="V17" s="103"/>
      <c r="W17" s="28"/>
      <c r="AC17" s="104">
        <f>+IFERROR(VLOOKUP(T17,$R$26:$U$119,4,FALSE),0)</f>
        <v>0</v>
      </c>
      <c r="AE17" s="28"/>
    </row>
    <row r="18" ht="21" customHeight="1" hidden="1" spans="1:31" x14ac:dyDescent="0.25">
      <c r="A18" s="80" t="s">
        <v>116</v>
      </c>
      <c r="B18" s="80" t="s">
        <v>117</v>
      </c>
      <c r="C18" s="80"/>
      <c r="D18" s="80"/>
      <c r="H18">
        <v>70</v>
      </c>
      <c r="J18" s="104">
        <f t="shared" si="0"/>
        <v>0</v>
      </c>
      <c r="L18" t="s">
        <v>16</v>
      </c>
      <c r="M18" s="105">
        <f t="shared" si="1"/>
        <v>0</v>
      </c>
      <c r="N18" s="104">
        <f t="shared" si="2"/>
        <v>0</v>
      </c>
      <c r="O18" s="28"/>
      <c r="P18" s="106">
        <f t="shared" si="3"/>
        <v>0</v>
      </c>
      <c r="Q18" s="81"/>
      <c r="AC18" s="104">
        <f>+IFERROR(VLOOKUP(T24,$R$26:$U$119,4,FALSE),0)</f>
        <v>0</v>
      </c>
      <c r="AE18" s="28"/>
    </row>
    <row r="19" ht="21" customHeight="1" hidden="1" spans="1:31" x14ac:dyDescent="0.25">
      <c r="A19" s="80" t="s">
        <v>118</v>
      </c>
      <c r="B19" s="80" t="s">
        <v>119</v>
      </c>
      <c r="C19" s="80"/>
      <c r="D19" s="80"/>
      <c r="H19">
        <v>70</v>
      </c>
      <c r="J19" s="104">
        <f t="shared" si="0"/>
        <v>0</v>
      </c>
      <c r="L19" t="s">
        <v>16</v>
      </c>
      <c r="M19" s="105">
        <f t="shared" si="1"/>
        <v>0</v>
      </c>
      <c r="N19" s="104">
        <f t="shared" si="2"/>
        <v>0</v>
      </c>
      <c r="O19" s="28"/>
      <c r="P19" s="106">
        <f t="shared" si="3"/>
        <v>0</v>
      </c>
      <c r="Q19" s="81"/>
      <c r="AB19" s="103"/>
      <c r="AC19" s="104">
        <f>+IFERROR(VLOOKUP(T25,$R$26:$U$119,4,FALSE),0)</f>
        <v>0</v>
      </c>
      <c r="AE19" s="28"/>
    </row>
    <row r="20" ht="21" customHeight="1" hidden="1" spans="1:31" x14ac:dyDescent="0.25">
      <c r="A20" s="80" t="s">
        <v>120</v>
      </c>
      <c r="B20" t="s">
        <v>121</v>
      </c>
      <c r="C20" s="80"/>
      <c r="D20" s="80"/>
      <c r="H20">
        <v>70</v>
      </c>
      <c r="J20" s="28">
        <f>+IFERROR(VLOOKUP(A20,$R$24:$U$119,4,FALSE),0)</f>
        <v>0</v>
      </c>
      <c r="K20" s="28"/>
      <c r="L20" s="28" t="s">
        <v>16</v>
      </c>
      <c r="M20" s="105">
        <f t="shared" si="1"/>
        <v>0</v>
      </c>
      <c r="N20" s="28">
        <f t="shared" ref="N20:N32" si="4">+IFERROR(VLOOKUP(A20,$R$26:$U$119,4,FALSE),0)-0</f>
        <v>0</v>
      </c>
      <c r="P20" s="106">
        <f t="shared" si="3"/>
        <v>0</v>
      </c>
      <c r="Q20" s="81"/>
      <c r="AB20" s="103"/>
      <c r="AC20" s="104"/>
      <c r="AE20" s="28"/>
    </row>
    <row r="21" ht="21" customHeight="1" hidden="1" spans="1:31" x14ac:dyDescent="0.25">
      <c r="A21" t="s">
        <v>122</v>
      </c>
      <c r="B21" t="s">
        <v>123</v>
      </c>
      <c r="H21">
        <v>70</v>
      </c>
      <c r="J21" s="28">
        <f>+IFERROR(VLOOKUP(A21,$R$24:$U$119,4,FALSE),0)</f>
        <v>0</v>
      </c>
      <c r="K21" s="28"/>
      <c r="L21" s="28" t="s">
        <v>16</v>
      </c>
      <c r="M21" s="105">
        <f t="shared" si="1"/>
        <v>0</v>
      </c>
      <c r="N21" s="28">
        <f t="shared" si="4"/>
        <v>0</v>
      </c>
      <c r="P21" s="107">
        <f t="shared" si="3"/>
        <v>0</v>
      </c>
      <c r="Q21" s="81"/>
      <c r="AB21" s="103"/>
      <c r="AC21" s="104"/>
      <c r="AE21" s="28"/>
    </row>
    <row r="22" ht="21" customHeight="1" hidden="1" spans="1:31" x14ac:dyDescent="0.25">
      <c r="A22" t="s">
        <v>124</v>
      </c>
      <c r="B22" t="s">
        <v>125</v>
      </c>
      <c r="H22">
        <v>70</v>
      </c>
      <c r="J22" s="28">
        <f>+IFERROR(VLOOKUP(A22,$R$24:$U$119,4,FALSE),0)</f>
        <v>0</v>
      </c>
      <c r="K22" s="28"/>
      <c r="L22" s="28" t="s">
        <v>16</v>
      </c>
      <c r="M22" s="105">
        <f t="shared" si="1"/>
        <v>0</v>
      </c>
      <c r="N22" s="28">
        <f t="shared" si="4"/>
        <v>0</v>
      </c>
      <c r="P22" s="107">
        <f t="shared" si="3"/>
        <v>0</v>
      </c>
      <c r="Q22" s="81"/>
      <c r="AB22" s="103"/>
      <c r="AC22" s="104"/>
      <c r="AE22" s="28"/>
    </row>
    <row r="23" ht="21" customHeight="1" hidden="1" spans="1:31" x14ac:dyDescent="0.25">
      <c r="A23" t="s">
        <v>126</v>
      </c>
      <c r="B23" t="s">
        <v>127</v>
      </c>
      <c r="H23">
        <v>70</v>
      </c>
      <c r="J23" s="28">
        <f>+IFERROR(VLOOKUP(A23,$R$24:$U$119,4,FALSE),0)</f>
        <v>0</v>
      </c>
      <c r="K23" s="28"/>
      <c r="L23" s="28" t="s">
        <v>16</v>
      </c>
      <c r="M23" s="105">
        <f t="shared" si="1"/>
        <v>0</v>
      </c>
      <c r="N23" s="28">
        <f t="shared" si="4"/>
        <v>0</v>
      </c>
      <c r="P23" s="107">
        <f t="shared" si="3"/>
        <v>0</v>
      </c>
      <c r="Q23" s="81"/>
      <c r="AB23" s="103"/>
      <c r="AC23" s="104"/>
      <c r="AE23" s="28"/>
    </row>
    <row r="24" ht="27.95" customHeight="1" spans="1:41" x14ac:dyDescent="0.25">
      <c r="A24" s="19" t="s">
        <v>14</v>
      </c>
      <c r="B24" s="20" t="s">
        <v>15</v>
      </c>
      <c r="C24" s="20"/>
      <c r="D24" s="20"/>
      <c r="E24" s="108"/>
      <c r="F24" s="22"/>
      <c r="G24" s="22"/>
      <c r="H24" s="21">
        <v>80</v>
      </c>
      <c r="I24" s="22"/>
      <c r="J24" s="40">
        <f>44419-1+13451+18320</f>
        <v>76189</v>
      </c>
      <c r="K24" s="24"/>
      <c r="L24" s="24" t="s">
        <v>16</v>
      </c>
      <c r="M24" s="109">
        <f t="shared" si="1"/>
        <v>76189</v>
      </c>
      <c r="N24" s="110">
        <f t="shared" si="4"/>
        <v>0</v>
      </c>
      <c r="O24" s="111">
        <f>51208-J24</f>
        <v>-24981</v>
      </c>
      <c r="P24" s="111">
        <f>J24-IFERROR(VLOOKUP(A24,$R$26:$U$119,4,FALSE),0)+19600</f>
        <v>95789</v>
      </c>
      <c r="Q24" s="25">
        <f>+J24/H24</f>
        <v>952.3625</v>
      </c>
      <c r="R24" s="22" t="s">
        <v>14</v>
      </c>
      <c r="S24" s="22" t="s">
        <v>128</v>
      </c>
      <c r="T24" s="22" t="s">
        <v>129</v>
      </c>
      <c r="U24" s="112">
        <v>69558</v>
      </c>
      <c r="V24" s="24">
        <v>126132</v>
      </c>
      <c r="W24" s="24"/>
      <c r="X24" s="24">
        <v>-23035</v>
      </c>
      <c r="Y24" s="22" t="s">
        <v>130</v>
      </c>
      <c r="Z24" s="22" t="s">
        <v>131</v>
      </c>
      <c r="AA24" s="22"/>
      <c r="AB24" s="22"/>
      <c r="AC24" s="110">
        <f>+IFERROR(VLOOKUP(T24,$R$24:$U$119,4,FALSE),0)-0-5920-5920-7520-9040-4640-4240-5440-4160-8720</f>
        <v>-55600</v>
      </c>
      <c r="AD24" s="113"/>
      <c r="AE24" s="24">
        <f>1+99+8+88+240+256+10+48+64+21+56+116+160+80+336+1</f>
        <v>1584</v>
      </c>
      <c r="AF24" s="22">
        <f>+AE24*80</f>
        <v>126720</v>
      </c>
      <c r="AG24" s="22">
        <f>+AF24+54+48</f>
        <v>126822</v>
      </c>
      <c r="AH24" s="22"/>
      <c r="AI24" s="26">
        <v>804</v>
      </c>
      <c r="AJ24" s="27">
        <f>IFERROR(ROUND((+Q24/AI24),1),0)</f>
        <v>1.2</v>
      </c>
      <c r="AN24" s="114" t="s">
        <v>132</v>
      </c>
      <c r="AO24" s="28"/>
    </row>
    <row r="25" ht="27.95" customHeight="1" spans="1:40" x14ac:dyDescent="0.25">
      <c r="A25" s="29" t="s">
        <v>17</v>
      </c>
      <c r="B25" s="30" t="s">
        <v>18</v>
      </c>
      <c r="C25" s="30"/>
      <c r="D25" s="30"/>
      <c r="E25" s="39"/>
      <c r="F25" s="32"/>
      <c r="G25" s="32"/>
      <c r="H25" s="31">
        <v>80</v>
      </c>
      <c r="I25" s="32"/>
      <c r="J25" s="37">
        <f>23488+160</f>
        <v>23648</v>
      </c>
      <c r="K25" s="34"/>
      <c r="L25" s="34" t="s">
        <v>16</v>
      </c>
      <c r="M25" s="115">
        <f t="shared" si="1"/>
        <v>23648</v>
      </c>
      <c r="N25" s="116">
        <f t="shared" si="4"/>
        <v>0</v>
      </c>
      <c r="O25" s="117">
        <f>204-J25</f>
        <v>-23444</v>
      </c>
      <c r="P25" s="118">
        <f>J25-IFERROR(VLOOKUP(A25,$R$26:$U$119,4,FALSE),0)+0</f>
        <v>23648</v>
      </c>
      <c r="Q25" s="33">
        <f t="shared" ref="Q25:Q88" si="5">+J25/H25</f>
        <v>295.6</v>
      </c>
      <c r="R25" s="32" t="s">
        <v>17</v>
      </c>
      <c r="S25" s="32" t="s">
        <v>133</v>
      </c>
      <c r="T25" s="32" t="s">
        <v>129</v>
      </c>
      <c r="U25" s="119">
        <v>26276</v>
      </c>
      <c r="V25" s="34">
        <v>6395</v>
      </c>
      <c r="W25" s="32"/>
      <c r="X25" s="34">
        <v>7324</v>
      </c>
      <c r="Y25" s="32" t="s">
        <v>130</v>
      </c>
      <c r="Z25" s="32" t="s">
        <v>134</v>
      </c>
      <c r="AA25" s="32"/>
      <c r="AB25" s="32"/>
      <c r="AC25" s="116">
        <f>+IFERROR(VLOOKUP(T25,$R$24:$U$119,4,FALSE),0)-0-2480-2560-1280-480-960-640-160</f>
        <v>-8560</v>
      </c>
      <c r="AD25" s="120"/>
      <c r="AE25" s="32">
        <f>1+29+96+88+56+12+0</f>
        <v>282</v>
      </c>
      <c r="AF25" s="32">
        <f>+AE25*80</f>
        <v>22560</v>
      </c>
      <c r="AG25" s="32">
        <f>+AF25+44+18</f>
        <v>22622</v>
      </c>
      <c r="AH25" s="32"/>
      <c r="AI25" s="35">
        <v>111</v>
      </c>
      <c r="AJ25" s="36">
        <f>IFERROR(ROUND((+Q25/AI25),1),0)</f>
        <v>2.7</v>
      </c>
      <c r="AM25" s="28"/>
      <c r="AN25" s="114"/>
    </row>
    <row r="26" ht="27.95" customHeight="1" spans="1:40" x14ac:dyDescent="0.25">
      <c r="A26" s="29" t="s">
        <v>19</v>
      </c>
      <c r="B26" s="30" t="s">
        <v>20</v>
      </c>
      <c r="C26" s="30"/>
      <c r="D26" s="30"/>
      <c r="E26" s="121"/>
      <c r="F26" s="32"/>
      <c r="G26" s="32"/>
      <c r="H26" s="31">
        <v>80</v>
      </c>
      <c r="I26" s="32"/>
      <c r="J26" s="33">
        <f>34826+21400</f>
        <v>56226</v>
      </c>
      <c r="K26" s="34"/>
      <c r="L26" s="34" t="s">
        <v>16</v>
      </c>
      <c r="M26" s="115">
        <f t="shared" si="1"/>
        <v>32810</v>
      </c>
      <c r="N26" s="116">
        <f t="shared" si="4"/>
        <v>23416</v>
      </c>
      <c r="O26" s="117">
        <f>8449-J26</f>
        <v>-47777</v>
      </c>
      <c r="P26" s="118">
        <f>J26-IFERROR(VLOOKUP(A26,$R$26:$U$119,4,FALSE),0)+5120</f>
        <v>37930</v>
      </c>
      <c r="Q26" s="33">
        <f t="shared" si="5"/>
        <v>702.825</v>
      </c>
      <c r="R26" s="32" t="s">
        <v>19</v>
      </c>
      <c r="S26" s="32" t="s">
        <v>135</v>
      </c>
      <c r="T26" s="32" t="s">
        <v>129</v>
      </c>
      <c r="U26" s="119">
        <v>23416</v>
      </c>
      <c r="V26" s="34">
        <v>17820</v>
      </c>
      <c r="W26" s="32"/>
      <c r="X26" s="34">
        <v>-8915</v>
      </c>
      <c r="Y26" s="32" t="s">
        <v>130</v>
      </c>
      <c r="Z26" s="32" t="s">
        <v>136</v>
      </c>
      <c r="AA26" s="32"/>
      <c r="AB26" s="32"/>
      <c r="AC26" s="116">
        <f>+IFERROR(VLOOKUP(T26,$R$24:$U$119,4,FALSE),0)-0-160-3520-4720-3360-480-2880-3200</f>
        <v>-18320</v>
      </c>
      <c r="AD26" s="120"/>
      <c r="AE26" s="32">
        <f>34+116+144+18+0</f>
        <v>312</v>
      </c>
      <c r="AF26" s="32">
        <f>+AE26*50</f>
        <v>15600</v>
      </c>
      <c r="AG26" s="32">
        <f>+AF26+3+28</f>
        <v>15631</v>
      </c>
      <c r="AH26" s="32"/>
      <c r="AI26" s="35">
        <v>240</v>
      </c>
      <c r="AJ26" s="36">
        <f t="shared" ref="AJ26:AJ89" si="6">IFERROR(ROUND((+Q26/AI26),1),0)</f>
        <v>2.9</v>
      </c>
      <c r="AN26" s="114"/>
    </row>
    <row r="27" ht="27.95" customHeight="1" spans="1:40" x14ac:dyDescent="0.25">
      <c r="A27" s="29" t="s">
        <v>21</v>
      </c>
      <c r="B27" s="30" t="s">
        <v>22</v>
      </c>
      <c r="C27" s="30"/>
      <c r="D27" s="30"/>
      <c r="E27" s="39"/>
      <c r="F27" s="32"/>
      <c r="G27" s="32"/>
      <c r="H27" s="31">
        <v>80</v>
      </c>
      <c r="I27" s="32"/>
      <c r="J27" s="33">
        <f>32+2160</f>
        <v>2192</v>
      </c>
      <c r="K27" s="34"/>
      <c r="L27" s="34" t="s">
        <v>16</v>
      </c>
      <c r="M27" s="115">
        <f t="shared" si="1"/>
        <v>2189</v>
      </c>
      <c r="N27" s="116">
        <f t="shared" si="4"/>
        <v>3</v>
      </c>
      <c r="O27" s="117">
        <f>5605-J27</f>
        <v>3413</v>
      </c>
      <c r="P27" s="118">
        <f>J27-IFERROR(VLOOKUP(A27,$R$26:$U$119,4,FALSE),0)+4720+0</f>
        <v>6909</v>
      </c>
      <c r="Q27" s="33">
        <f t="shared" si="5"/>
        <v>27.4</v>
      </c>
      <c r="R27" s="32" t="s">
        <v>21</v>
      </c>
      <c r="S27" s="32" t="s">
        <v>137</v>
      </c>
      <c r="T27" s="32" t="s">
        <v>129</v>
      </c>
      <c r="U27" s="119">
        <v>3</v>
      </c>
      <c r="V27" s="34">
        <v>7320</v>
      </c>
      <c r="W27" s="32"/>
      <c r="X27" s="34">
        <v>17629</v>
      </c>
      <c r="Y27" s="32" t="s">
        <v>130</v>
      </c>
      <c r="Z27" s="32" t="s">
        <v>138</v>
      </c>
      <c r="AA27" s="32"/>
      <c r="AB27" s="32"/>
      <c r="AC27" s="116">
        <f>+IFERROR(VLOOKUP(T27,$R$24:$U$119,4,FALSE),0)-0-4160</f>
        <v>-4160</v>
      </c>
      <c r="AD27" s="32"/>
      <c r="AE27" s="32">
        <f>20+38+1+144+93+0</f>
        <v>296</v>
      </c>
      <c r="AF27" s="32">
        <f>+AE27*80</f>
        <v>23680</v>
      </c>
      <c r="AG27" s="32">
        <f>+AF27+48+1</f>
        <v>23729</v>
      </c>
      <c r="AH27" s="32"/>
      <c r="AI27" s="35">
        <v>83</v>
      </c>
      <c r="AJ27" s="36">
        <f t="shared" si="6"/>
        <v>0.3</v>
      </c>
      <c r="AN27" s="114"/>
    </row>
    <row r="28" ht="24.95" customHeight="1" spans="1:40" x14ac:dyDescent="0.25">
      <c r="A28" s="29" t="s">
        <v>23</v>
      </c>
      <c r="B28" s="30" t="s">
        <v>24</v>
      </c>
      <c r="C28" s="30"/>
      <c r="D28" s="30"/>
      <c r="E28" s="39"/>
      <c r="F28" s="32"/>
      <c r="G28" s="32"/>
      <c r="H28" s="31">
        <v>80</v>
      </c>
      <c r="I28" s="32"/>
      <c r="J28" s="33">
        <v>0</v>
      </c>
      <c r="K28" s="34"/>
      <c r="L28" s="34" t="s">
        <v>16</v>
      </c>
      <c r="M28" s="115">
        <f t="shared" si="1"/>
        <v>0</v>
      </c>
      <c r="N28" s="34">
        <f t="shared" si="4"/>
        <v>0</v>
      </c>
      <c r="O28" s="117">
        <f>0-J28</f>
        <v>0</v>
      </c>
      <c r="P28" s="118">
        <f>J28-IFERROR(VLOOKUP(A28,$R$26:$U$119,4,FALSE),0)+0</f>
        <v>0</v>
      </c>
      <c r="Q28" s="33">
        <f t="shared" si="5"/>
        <v>0</v>
      </c>
      <c r="R28" s="32" t="s">
        <v>25</v>
      </c>
      <c r="S28" s="32" t="s">
        <v>139</v>
      </c>
      <c r="T28" s="32" t="s">
        <v>129</v>
      </c>
      <c r="U28" s="119">
        <v>3476</v>
      </c>
      <c r="V28" s="34">
        <v>13560</v>
      </c>
      <c r="W28" s="32"/>
      <c r="X28" s="34">
        <v>-13036</v>
      </c>
      <c r="Y28" s="32" t="s">
        <v>130</v>
      </c>
      <c r="Z28" s="32" t="s">
        <v>140</v>
      </c>
      <c r="AA28" s="32"/>
      <c r="AB28" s="32"/>
      <c r="AC28" s="34">
        <f>+IFERROR(VLOOKUP(T28,$R$24:$U$119,4,FALSE),0)</f>
        <v>0</v>
      </c>
      <c r="AD28" s="120"/>
      <c r="AE28" s="32">
        <f>18+12+142+96+65</f>
        <v>333</v>
      </c>
      <c r="AF28" s="32">
        <f>+AE28*78</f>
        <v>25974</v>
      </c>
      <c r="AG28" s="32">
        <f>+AF28+34</f>
        <v>26008</v>
      </c>
      <c r="AH28" s="32"/>
      <c r="AI28" s="35">
        <v>86</v>
      </c>
      <c r="AJ28" s="36">
        <f t="shared" si="6"/>
        <v>0</v>
      </c>
      <c r="AN28" s="114"/>
    </row>
    <row r="29" ht="27.95" customHeight="1" spans="1:40" x14ac:dyDescent="0.25">
      <c r="A29" s="29" t="s">
        <v>25</v>
      </c>
      <c r="B29" s="30" t="s">
        <v>26</v>
      </c>
      <c r="C29" s="30"/>
      <c r="D29" s="30"/>
      <c r="E29" s="39"/>
      <c r="F29" s="32"/>
      <c r="G29" s="32"/>
      <c r="H29" s="31">
        <v>80</v>
      </c>
      <c r="I29" s="32"/>
      <c r="J29" s="40">
        <f>9958-1+15680</f>
        <v>25637</v>
      </c>
      <c r="K29" s="34"/>
      <c r="L29" s="34" t="s">
        <v>16</v>
      </c>
      <c r="M29" s="115">
        <f t="shared" si="1"/>
        <v>22161</v>
      </c>
      <c r="N29" s="116">
        <f t="shared" si="4"/>
        <v>3476</v>
      </c>
      <c r="O29" s="117">
        <f>9357-J29</f>
        <v>-16280</v>
      </c>
      <c r="P29" s="118">
        <f>J29-IFERROR(VLOOKUP(A29,$R$26:$U$119,4,FALSE),0)+640</f>
        <v>22801</v>
      </c>
      <c r="Q29" s="33">
        <f t="shared" si="5"/>
        <v>320.4625</v>
      </c>
      <c r="R29" s="32" t="s">
        <v>58</v>
      </c>
      <c r="S29" s="32" t="s">
        <v>141</v>
      </c>
      <c r="T29" s="32" t="s">
        <v>129</v>
      </c>
      <c r="U29" s="119">
        <v>40630</v>
      </c>
      <c r="V29" s="34">
        <v>9830</v>
      </c>
      <c r="W29" s="32"/>
      <c r="X29" s="34">
        <v>37099</v>
      </c>
      <c r="Y29" s="32" t="s">
        <v>142</v>
      </c>
      <c r="Z29" s="32" t="s">
        <v>143</v>
      </c>
      <c r="AA29" s="32"/>
      <c r="AB29" s="32"/>
      <c r="AC29" s="116">
        <f>+IFERROR(VLOOKUP(T29,$R$24:$U$119,4,FALSE),0)-0-3520-2560-2960-1600-480</f>
        <v>-11120</v>
      </c>
      <c r="AD29" s="120"/>
      <c r="AE29" s="32">
        <f>7+14+1+24+48+12+15</f>
        <v>121</v>
      </c>
      <c r="AF29" s="32">
        <f>+AE29*160</f>
        <v>19360</v>
      </c>
      <c r="AG29" s="32">
        <f>+AF29+64+133</f>
        <v>19557</v>
      </c>
      <c r="AH29" s="32"/>
      <c r="AI29" s="35">
        <v>261</v>
      </c>
      <c r="AJ29" s="36">
        <f t="shared" si="6"/>
        <v>1.2</v>
      </c>
      <c r="AN29" s="114"/>
    </row>
    <row r="30" ht="27.95" customHeight="1" hidden="1" spans="1:40" x14ac:dyDescent="0.25">
      <c r="A30" s="38" t="s">
        <v>144</v>
      </c>
      <c r="B30" s="39" t="s">
        <v>145</v>
      </c>
      <c r="C30" s="39"/>
      <c r="D30" s="39"/>
      <c r="E30" s="39"/>
      <c r="F30" s="32"/>
      <c r="G30" s="32"/>
      <c r="H30" s="31">
        <v>80</v>
      </c>
      <c r="I30" s="32"/>
      <c r="J30" s="33">
        <v>0</v>
      </c>
      <c r="K30" s="34"/>
      <c r="L30" s="34" t="s">
        <v>16</v>
      </c>
      <c r="M30" s="115">
        <f t="shared" si="1"/>
        <v>0</v>
      </c>
      <c r="N30" s="34">
        <f t="shared" si="4"/>
        <v>0</v>
      </c>
      <c r="O30" s="32"/>
      <c r="P30" s="122">
        <f>J30-IFERROR(VLOOKUP(A30,$R$26:$U$119,4,FALSE),0)+0</f>
        <v>0</v>
      </c>
      <c r="Q30" s="33">
        <f t="shared" si="5"/>
        <v>0</v>
      </c>
      <c r="R30" s="32" t="s">
        <v>27</v>
      </c>
      <c r="S30" s="32" t="s">
        <v>146</v>
      </c>
      <c r="T30" s="32" t="s">
        <v>129</v>
      </c>
      <c r="U30" s="119">
        <v>1</v>
      </c>
      <c r="V30" s="34">
        <v>80</v>
      </c>
      <c r="W30" s="32"/>
      <c r="X30" s="34">
        <v>-79</v>
      </c>
      <c r="Y30" s="32" t="s">
        <v>130</v>
      </c>
      <c r="Z30" s="32" t="s">
        <v>130</v>
      </c>
      <c r="AA30" s="32"/>
      <c r="AB30" s="32"/>
      <c r="AC30" s="116"/>
      <c r="AD30" s="120"/>
      <c r="AE30" s="32"/>
      <c r="AF30" s="32"/>
      <c r="AG30" s="32"/>
      <c r="AH30" s="32"/>
      <c r="AI30" s="35">
        <v>0</v>
      </c>
      <c r="AJ30" s="36">
        <f t="shared" si="6"/>
        <v>0</v>
      </c>
      <c r="AN30" s="114"/>
    </row>
    <row r="31" ht="27.95" customHeight="1" spans="1:40" x14ac:dyDescent="0.25">
      <c r="A31" s="38" t="s">
        <v>27</v>
      </c>
      <c r="B31" s="39" t="s">
        <v>28</v>
      </c>
      <c r="C31" s="39"/>
      <c r="D31" s="39"/>
      <c r="E31" s="39"/>
      <c r="F31" s="32"/>
      <c r="G31" s="32"/>
      <c r="H31" s="31">
        <v>80</v>
      </c>
      <c r="I31" s="32"/>
      <c r="J31" s="33">
        <v>15612</v>
      </c>
      <c r="K31" s="34"/>
      <c r="L31" s="34" t="s">
        <v>16</v>
      </c>
      <c r="M31" s="115">
        <f t="shared" si="1"/>
        <v>15611</v>
      </c>
      <c r="N31" s="116">
        <f t="shared" si="4"/>
        <v>1</v>
      </c>
      <c r="O31" s="117">
        <f>525-J31</f>
        <v>-15087</v>
      </c>
      <c r="P31" s="118">
        <f>J31-IFERROR(VLOOKUP(A31,$R$26:$U$119,4,FALSE),0)+0</f>
        <v>15611</v>
      </c>
      <c r="Q31" s="33">
        <f t="shared" si="5"/>
        <v>195.15</v>
      </c>
      <c r="R31" s="32" t="s">
        <v>34</v>
      </c>
      <c r="S31" s="32" t="s">
        <v>35</v>
      </c>
      <c r="T31" s="32" t="s">
        <v>129</v>
      </c>
      <c r="U31" s="119">
        <v>28310</v>
      </c>
      <c r="V31" s="34">
        <v>15449</v>
      </c>
      <c r="W31" s="32"/>
      <c r="X31" s="34">
        <v>10277</v>
      </c>
      <c r="Y31" s="32" t="s">
        <v>147</v>
      </c>
      <c r="Z31" s="32" t="s">
        <v>148</v>
      </c>
      <c r="AA31" s="32"/>
      <c r="AB31" s="32"/>
      <c r="AC31" s="116"/>
      <c r="AD31" s="120"/>
      <c r="AE31" s="32"/>
      <c r="AF31" s="32"/>
      <c r="AG31" s="32"/>
      <c r="AH31" s="32"/>
      <c r="AI31" s="35">
        <v>6</v>
      </c>
      <c r="AJ31" s="36">
        <f t="shared" si="6"/>
        <v>32.5</v>
      </c>
      <c r="AN31" s="114"/>
    </row>
    <row r="32" ht="27.95" customHeight="1" hidden="1" spans="1:40" x14ac:dyDescent="0.25">
      <c r="A32" s="38" t="s">
        <v>149</v>
      </c>
      <c r="B32" s="39" t="s">
        <v>150</v>
      </c>
      <c r="C32" s="39"/>
      <c r="D32" s="39"/>
      <c r="E32" s="39"/>
      <c r="F32" s="32"/>
      <c r="G32" s="32"/>
      <c r="H32" s="31">
        <v>80</v>
      </c>
      <c r="I32" s="32"/>
      <c r="J32" s="33">
        <v>0</v>
      </c>
      <c r="K32" s="34"/>
      <c r="L32" s="34" t="s">
        <v>16</v>
      </c>
      <c r="M32" s="115">
        <f t="shared" si="1"/>
        <v>0</v>
      </c>
      <c r="N32" s="34">
        <f t="shared" si="4"/>
        <v>0</v>
      </c>
      <c r="O32" s="32"/>
      <c r="P32" s="122">
        <f>J32-IFERROR(VLOOKUP(A32,$R$26:$U$119,4,FALSE),0)+0</f>
        <v>0</v>
      </c>
      <c r="Q32" s="33">
        <f t="shared" si="5"/>
        <v>0</v>
      </c>
      <c r="R32" s="32" t="s">
        <v>36</v>
      </c>
      <c r="S32" s="32" t="s">
        <v>37</v>
      </c>
      <c r="T32" s="32" t="s">
        <v>129</v>
      </c>
      <c r="U32" s="119">
        <v>17551</v>
      </c>
      <c r="V32" s="34">
        <v>1850</v>
      </c>
      <c r="W32" s="32"/>
      <c r="X32" s="34">
        <v>-826</v>
      </c>
      <c r="Y32" s="32" t="s">
        <v>147</v>
      </c>
      <c r="Z32" s="32" t="s">
        <v>151</v>
      </c>
      <c r="AA32" s="32"/>
      <c r="AB32" s="32"/>
      <c r="AC32" s="116"/>
      <c r="AD32" s="120"/>
      <c r="AE32" s="32"/>
      <c r="AF32" s="32"/>
      <c r="AG32" s="32"/>
      <c r="AH32" s="32"/>
      <c r="AI32" s="35">
        <v>0</v>
      </c>
      <c r="AJ32" s="36">
        <f t="shared" si="6"/>
        <v>0</v>
      </c>
      <c r="AN32" s="114"/>
    </row>
    <row r="33" ht="27.95" customHeight="1" spans="1:40" x14ac:dyDescent="0.25">
      <c r="A33" s="38" t="s">
        <v>29</v>
      </c>
      <c r="B33" s="39" t="s">
        <v>30</v>
      </c>
      <c r="C33" s="39"/>
      <c r="D33" s="39"/>
      <c r="E33" s="39"/>
      <c r="F33" s="32"/>
      <c r="G33" s="32"/>
      <c r="H33" s="31">
        <v>80</v>
      </c>
      <c r="I33" s="32"/>
      <c r="J33" s="33">
        <f>4828+2240</f>
        <v>7068</v>
      </c>
      <c r="K33" s="32"/>
      <c r="L33" s="32" t="s">
        <v>31</v>
      </c>
      <c r="M33" s="115">
        <f t="shared" si="1"/>
        <v>7068</v>
      </c>
      <c r="N33" s="116">
        <f>+IFERROR(VLOOKUP(A33,$R$24:$U$119,4,FALSE),0)-0</f>
        <v>0</v>
      </c>
      <c r="O33" s="117">
        <f>0-J33</f>
        <v>-7068</v>
      </c>
      <c r="P33" s="118">
        <f>J33-IFERROR(VLOOKUP(A33,$R$24:$U$119,4,FALSE),0)+0</f>
        <v>7068</v>
      </c>
      <c r="Q33" s="33">
        <f t="shared" si="5"/>
        <v>88.35</v>
      </c>
      <c r="R33" s="32" t="s">
        <v>38</v>
      </c>
      <c r="S33" s="32" t="s">
        <v>39</v>
      </c>
      <c r="T33" s="32" t="s">
        <v>129</v>
      </c>
      <c r="U33" s="119">
        <v>7845</v>
      </c>
      <c r="V33" s="34">
        <v>2296</v>
      </c>
      <c r="W33" s="32"/>
      <c r="X33" s="34">
        <v>-2246</v>
      </c>
      <c r="Y33" s="32" t="s">
        <v>147</v>
      </c>
      <c r="Z33" s="32" t="s">
        <v>152</v>
      </c>
      <c r="AA33" s="32"/>
      <c r="AB33" s="32"/>
      <c r="AC33" s="116"/>
      <c r="AD33" s="120"/>
      <c r="AE33" s="32"/>
      <c r="AF33" s="32"/>
      <c r="AG33" s="32"/>
      <c r="AH33" s="32"/>
      <c r="AI33" s="35">
        <v>60</v>
      </c>
      <c r="AJ33" s="36">
        <f t="shared" si="6"/>
        <v>1.5</v>
      </c>
      <c r="AM33" s="123"/>
      <c r="AN33" s="114"/>
    </row>
    <row r="34" ht="27.95" customHeight="1" spans="1:40" x14ac:dyDescent="0.25">
      <c r="A34" s="38" t="s">
        <v>32</v>
      </c>
      <c r="B34" s="39" t="s">
        <v>33</v>
      </c>
      <c r="C34" s="39"/>
      <c r="D34" s="39"/>
      <c r="E34" s="39"/>
      <c r="F34" s="32"/>
      <c r="G34" s="32"/>
      <c r="H34" s="31">
        <v>80</v>
      </c>
      <c r="I34" s="32"/>
      <c r="J34" s="33">
        <v>6075</v>
      </c>
      <c r="K34" s="32"/>
      <c r="L34" s="32" t="s">
        <v>31</v>
      </c>
      <c r="M34" s="115">
        <f t="shared" si="1"/>
        <v>-44855</v>
      </c>
      <c r="N34" s="116">
        <f>+IFERROR(VLOOKUP(A34,$R$24:$U$119,4,FALSE),0)-0</f>
        <v>50930</v>
      </c>
      <c r="O34" s="117">
        <f>0-J34</f>
        <v>-6075</v>
      </c>
      <c r="P34" s="118">
        <f>J34-IFERROR(VLOOKUP(A34,$R$24:$U$119,4,FALSE),0)+0</f>
        <v>-44855</v>
      </c>
      <c r="Q34" s="33">
        <f t="shared" si="5"/>
        <v>75.9375</v>
      </c>
      <c r="R34" s="32" t="s">
        <v>40</v>
      </c>
      <c r="S34" s="32" t="s">
        <v>41</v>
      </c>
      <c r="T34" s="32" t="s">
        <v>129</v>
      </c>
      <c r="U34" s="119">
        <v>23279</v>
      </c>
      <c r="V34" s="34">
        <v>7587</v>
      </c>
      <c r="W34" s="32"/>
      <c r="X34" s="34">
        <v>4484</v>
      </c>
      <c r="Y34" s="32" t="s">
        <v>147</v>
      </c>
      <c r="Z34" s="32" t="s">
        <v>153</v>
      </c>
      <c r="AA34" s="32"/>
      <c r="AB34" s="32"/>
      <c r="AC34" s="116"/>
      <c r="AD34" s="120"/>
      <c r="AE34" s="32"/>
      <c r="AF34" s="32"/>
      <c r="AG34" s="32"/>
      <c r="AH34" s="32"/>
      <c r="AI34" s="35">
        <v>6</v>
      </c>
      <c r="AJ34" s="36">
        <f t="shared" si="6"/>
        <v>12.7</v>
      </c>
      <c r="AN34" s="114"/>
    </row>
    <row r="35" ht="27.95" customHeight="1" spans="1:40" x14ac:dyDescent="0.25">
      <c r="A35" s="41" t="s">
        <v>34</v>
      </c>
      <c r="B35" s="42" t="s">
        <v>35</v>
      </c>
      <c r="C35" s="42"/>
      <c r="D35" s="42"/>
      <c r="E35" s="42"/>
      <c r="F35" s="44"/>
      <c r="G35" s="44"/>
      <c r="H35" s="43">
        <v>78</v>
      </c>
      <c r="I35" s="44"/>
      <c r="J35" s="40">
        <f>7468-2+2184</f>
        <v>9650</v>
      </c>
      <c r="K35" s="45"/>
      <c r="L35" s="45" t="s">
        <v>31</v>
      </c>
      <c r="M35" s="124">
        <f t="shared" si="1"/>
        <v>-18660</v>
      </c>
      <c r="N35" s="125">
        <f t="shared" ref="N35:N48" si="7">+IFERROR(VLOOKUP(A35,$R$26:$U$119,4,FALSE),0)-0</f>
        <v>28310</v>
      </c>
      <c r="O35" s="126">
        <f>132941-J35</f>
        <v>123291</v>
      </c>
      <c r="P35" s="127">
        <f>J35-IFERROR(VLOOKUP(A35,$R$26:$U$119,4,FALSE),0)+3198</f>
        <v>-15462</v>
      </c>
      <c r="Q35" s="23">
        <f t="shared" si="5"/>
        <v>123.71794871794872</v>
      </c>
      <c r="R35" s="44" t="s">
        <v>48</v>
      </c>
      <c r="S35" s="44" t="s">
        <v>49</v>
      </c>
      <c r="T35" s="44" t="s">
        <v>129</v>
      </c>
      <c r="U35" s="119">
        <v>47795</v>
      </c>
      <c r="V35" s="45">
        <v>11855</v>
      </c>
      <c r="W35" s="45"/>
      <c r="X35" s="45">
        <v>-11243</v>
      </c>
      <c r="Y35" s="44" t="s">
        <v>154</v>
      </c>
      <c r="Z35" s="44" t="s">
        <v>155</v>
      </c>
      <c r="AA35" s="44"/>
      <c r="AB35" s="44"/>
      <c r="AC35" s="125"/>
      <c r="AD35" s="128"/>
      <c r="AE35" s="44"/>
      <c r="AF35" s="44"/>
      <c r="AG35" s="44"/>
      <c r="AH35" s="44"/>
      <c r="AI35" s="46">
        <v>118</v>
      </c>
      <c r="AJ35" s="47">
        <f t="shared" si="6"/>
        <v>1</v>
      </c>
      <c r="AN35" s="114"/>
    </row>
    <row r="36" ht="27.95" customHeight="1" spans="1:40" x14ac:dyDescent="0.25">
      <c r="A36" s="38" t="s">
        <v>36</v>
      </c>
      <c r="B36" s="39" t="s">
        <v>37</v>
      </c>
      <c r="C36" s="39"/>
      <c r="D36" s="39"/>
      <c r="E36" s="39"/>
      <c r="F36" s="32"/>
      <c r="G36" s="32"/>
      <c r="H36" s="31">
        <v>78</v>
      </c>
      <c r="I36" s="32"/>
      <c r="J36" s="40">
        <f>9679-156</f>
        <v>9523</v>
      </c>
      <c r="K36" s="34"/>
      <c r="L36" s="34" t="s">
        <v>31</v>
      </c>
      <c r="M36" s="115">
        <f t="shared" si="1"/>
        <v>-8028</v>
      </c>
      <c r="N36" s="116">
        <f t="shared" si="7"/>
        <v>17551</v>
      </c>
      <c r="O36" s="117">
        <f>51894-J36</f>
        <v>42371</v>
      </c>
      <c r="P36" s="118">
        <f>J36-IFERROR(VLOOKUP(A36,$R$26:$U$119,4,FALSE),0)+2106</f>
        <v>-5922</v>
      </c>
      <c r="Q36" s="33">
        <f t="shared" si="5"/>
        <v>122.08974358974359</v>
      </c>
      <c r="R36" s="32" t="s">
        <v>50</v>
      </c>
      <c r="S36" s="32" t="s">
        <v>51</v>
      </c>
      <c r="T36" s="32" t="s">
        <v>129</v>
      </c>
      <c r="U36" s="119">
        <v>11103</v>
      </c>
      <c r="V36" s="34">
        <v>490</v>
      </c>
      <c r="W36" s="34"/>
      <c r="X36" s="34">
        <v>4270</v>
      </c>
      <c r="Y36" s="32" t="s">
        <v>154</v>
      </c>
      <c r="Z36" s="32" t="s">
        <v>156</v>
      </c>
      <c r="AA36" s="32"/>
      <c r="AB36" s="32"/>
      <c r="AC36" s="116"/>
      <c r="AD36" s="120"/>
      <c r="AE36" s="32"/>
      <c r="AF36" s="32"/>
      <c r="AG36" s="32"/>
      <c r="AH36" s="32"/>
      <c r="AI36" s="35">
        <v>14</v>
      </c>
      <c r="AJ36" s="36">
        <f t="shared" si="6"/>
        <v>8.7</v>
      </c>
      <c r="AN36" s="114"/>
    </row>
    <row r="37" ht="27.95" customHeight="1" spans="1:40" x14ac:dyDescent="0.25">
      <c r="A37" s="38" t="s">
        <v>38</v>
      </c>
      <c r="B37" s="39" t="s">
        <v>39</v>
      </c>
      <c r="C37" s="39"/>
      <c r="D37" s="39"/>
      <c r="E37" s="39"/>
      <c r="F37" s="32"/>
      <c r="G37" s="32"/>
      <c r="H37" s="31">
        <v>78</v>
      </c>
      <c r="I37" s="32"/>
      <c r="J37" s="40">
        <f>2888-1+1794</f>
        <v>4681</v>
      </c>
      <c r="K37" s="34"/>
      <c r="L37" s="34" t="s">
        <v>31</v>
      </c>
      <c r="M37" s="115">
        <f t="shared" si="1"/>
        <v>-3164</v>
      </c>
      <c r="N37" s="116">
        <f t="shared" si="7"/>
        <v>7845</v>
      </c>
      <c r="O37" s="118">
        <f>17462-J37</f>
        <v>12781</v>
      </c>
      <c r="P37" s="118">
        <f>J37-IFERROR(VLOOKUP(A37,$R$26:$U$119,4,FALSE),0)+2496</f>
        <v>-668</v>
      </c>
      <c r="Q37" s="33">
        <f t="shared" si="5"/>
        <v>60.01282051282051</v>
      </c>
      <c r="R37" s="32" t="s">
        <v>52</v>
      </c>
      <c r="S37" s="32" t="s">
        <v>53</v>
      </c>
      <c r="T37" s="32" t="s">
        <v>129</v>
      </c>
      <c r="U37" s="119">
        <v>2962</v>
      </c>
      <c r="V37" s="34">
        <v>1260</v>
      </c>
      <c r="W37" s="32"/>
      <c r="X37" s="34">
        <v>-589</v>
      </c>
      <c r="Y37" s="32" t="s">
        <v>154</v>
      </c>
      <c r="Z37" s="32" t="s">
        <v>157</v>
      </c>
      <c r="AA37" s="32"/>
      <c r="AB37" s="32"/>
      <c r="AC37" s="116"/>
      <c r="AD37" s="120"/>
      <c r="AE37" s="32"/>
      <c r="AF37" s="32"/>
      <c r="AG37" s="32"/>
      <c r="AH37" s="32"/>
      <c r="AI37" s="35">
        <v>49</v>
      </c>
      <c r="AJ37" s="36">
        <f t="shared" si="6"/>
        <v>1.2</v>
      </c>
      <c r="AN37" s="114"/>
    </row>
    <row r="38" ht="27.95" customHeight="1" spans="1:40" x14ac:dyDescent="0.25">
      <c r="A38" s="38" t="s">
        <v>40</v>
      </c>
      <c r="B38" s="39" t="s">
        <v>41</v>
      </c>
      <c r="C38" s="39"/>
      <c r="D38" s="39"/>
      <c r="E38" s="39"/>
      <c r="F38" s="32"/>
      <c r="G38" s="32"/>
      <c r="H38" s="31">
        <v>78</v>
      </c>
      <c r="I38" s="32"/>
      <c r="J38" s="33">
        <v>32342</v>
      </c>
      <c r="K38" s="34"/>
      <c r="L38" s="34" t="s">
        <v>31</v>
      </c>
      <c r="M38" s="115">
        <f t="shared" si="1"/>
        <v>9063</v>
      </c>
      <c r="N38" s="116">
        <f t="shared" si="7"/>
        <v>23279</v>
      </c>
      <c r="O38" s="117">
        <f>39597-J38</f>
        <v>7255</v>
      </c>
      <c r="P38" s="118">
        <f>J38-IFERROR(VLOOKUP(A38,$R$26:$U$119,4,FALSE),0)+2652</f>
        <v>11715</v>
      </c>
      <c r="Q38" s="33">
        <f t="shared" si="5"/>
        <v>414.64102564102564</v>
      </c>
      <c r="R38" s="32" t="s">
        <v>54</v>
      </c>
      <c r="S38" s="32" t="s">
        <v>55</v>
      </c>
      <c r="T38" s="32" t="s">
        <v>129</v>
      </c>
      <c r="U38" s="119">
        <v>6</v>
      </c>
      <c r="V38" s="34">
        <v>1155</v>
      </c>
      <c r="W38" s="32"/>
      <c r="X38" s="34">
        <v>-997</v>
      </c>
      <c r="Y38" s="32" t="s">
        <v>154</v>
      </c>
      <c r="Z38" s="32" t="s">
        <v>158</v>
      </c>
      <c r="AA38" s="32"/>
      <c r="AB38" s="32"/>
      <c r="AC38" s="116"/>
      <c r="AD38" s="120"/>
      <c r="AE38" s="32"/>
      <c r="AF38" s="32"/>
      <c r="AG38" s="32"/>
      <c r="AH38" s="32"/>
      <c r="AI38" s="35">
        <v>45</v>
      </c>
      <c r="AJ38" s="36">
        <f t="shared" si="6"/>
        <v>9.2</v>
      </c>
      <c r="AN38" s="114"/>
    </row>
    <row r="39" ht="27.95" customHeight="1" hidden="1" spans="1:40" x14ac:dyDescent="0.25">
      <c r="A39" s="38" t="s">
        <v>159</v>
      </c>
      <c r="B39" s="39" t="s">
        <v>160</v>
      </c>
      <c r="C39" s="39"/>
      <c r="D39" s="39"/>
      <c r="E39" s="39"/>
      <c r="F39" s="32"/>
      <c r="G39" s="32"/>
      <c r="H39" s="31">
        <v>78</v>
      </c>
      <c r="I39" s="32"/>
      <c r="J39" s="33">
        <v>0</v>
      </c>
      <c r="K39" s="32"/>
      <c r="L39" s="32" t="s">
        <v>31</v>
      </c>
      <c r="M39" s="115">
        <f>+J39-N39</f>
        <v>0</v>
      </c>
      <c r="N39" s="116">
        <f t="shared" si="7"/>
        <v>0</v>
      </c>
      <c r="O39" s="117">
        <f>50966-J39</f>
        <v>50966</v>
      </c>
      <c r="P39" s="118">
        <f>J39-IFERROR(VLOOKUP(A39,$R$26:$U$119,4,FALSE),0)+702</f>
        <v>702</v>
      </c>
      <c r="Q39" s="33">
        <f t="shared" si="5"/>
        <v>0</v>
      </c>
      <c r="R39" s="32"/>
      <c r="S39" s="32"/>
      <c r="T39" s="32"/>
      <c r="U39" s="119"/>
      <c r="V39" s="34"/>
      <c r="W39" s="32"/>
      <c r="X39" s="34"/>
      <c r="Y39" s="32"/>
      <c r="Z39" s="32"/>
      <c r="AA39" s="32"/>
      <c r="AB39" s="32"/>
      <c r="AC39" s="116"/>
      <c r="AD39" s="120"/>
      <c r="AE39" s="32"/>
      <c r="AF39" s="32"/>
      <c r="AG39" s="32"/>
      <c r="AH39" s="32"/>
      <c r="AI39" s="35">
        <v>0</v>
      </c>
      <c r="AJ39" s="36">
        <f t="shared" si="6"/>
        <v>0</v>
      </c>
      <c r="AN39" s="114"/>
    </row>
    <row r="40" ht="27.95" customHeight="1" spans="1:40" x14ac:dyDescent="0.25">
      <c r="A40" s="38" t="s">
        <v>42</v>
      </c>
      <c r="B40" s="39" t="s">
        <v>43</v>
      </c>
      <c r="C40" s="39"/>
      <c r="D40" s="39"/>
      <c r="E40" s="39"/>
      <c r="F40" s="32"/>
      <c r="G40" s="32"/>
      <c r="H40" s="31">
        <v>78</v>
      </c>
      <c r="I40" s="32"/>
      <c r="J40" s="40">
        <f>2042-1+11585</f>
        <v>13626</v>
      </c>
      <c r="K40" s="34"/>
      <c r="L40" s="32" t="s">
        <v>31</v>
      </c>
      <c r="M40" s="115">
        <f>+J40-N40</f>
        <v>13626</v>
      </c>
      <c r="N40" s="116">
        <f t="shared" si="7"/>
        <v>0</v>
      </c>
      <c r="O40" s="117">
        <f>50966-J40</f>
        <v>37340</v>
      </c>
      <c r="P40" s="118">
        <f>J40-IFERROR(VLOOKUP(A40,$R$26:$U$119,4,FALSE),0)+702</f>
        <v>14328</v>
      </c>
      <c r="Q40" s="33">
        <f t="shared" si="5"/>
        <v>174.69230769230768</v>
      </c>
      <c r="R40" s="32"/>
      <c r="S40" s="32"/>
      <c r="T40" s="32"/>
      <c r="U40" s="119"/>
      <c r="V40" s="34"/>
      <c r="W40" s="32"/>
      <c r="X40" s="34"/>
      <c r="Y40" s="32"/>
      <c r="Z40" s="32"/>
      <c r="AA40" s="32"/>
      <c r="AB40" s="32"/>
      <c r="AC40" s="116"/>
      <c r="AD40" s="120"/>
      <c r="AE40" s="32"/>
      <c r="AF40" s="32"/>
      <c r="AG40" s="32"/>
      <c r="AH40" s="32"/>
      <c r="AI40" s="35">
        <v>7</v>
      </c>
      <c r="AJ40" s="36">
        <f t="shared" si="6"/>
        <v>25</v>
      </c>
      <c r="AN40" s="114"/>
    </row>
    <row r="41" ht="27.95" customHeight="1" spans="1:40" x14ac:dyDescent="0.25">
      <c r="A41" s="38" t="s">
        <v>44</v>
      </c>
      <c r="B41" s="39" t="s">
        <v>45</v>
      </c>
      <c r="C41" s="39"/>
      <c r="D41" s="39"/>
      <c r="E41" s="39"/>
      <c r="F41" s="32"/>
      <c r="G41" s="32"/>
      <c r="H41" s="31">
        <v>78</v>
      </c>
      <c r="I41" s="32"/>
      <c r="J41" s="33">
        <v>1</v>
      </c>
      <c r="K41" s="34"/>
      <c r="L41" s="32" t="s">
        <v>31</v>
      </c>
      <c r="M41" s="115">
        <f>+J41-N41</f>
        <v>1</v>
      </c>
      <c r="N41" s="116">
        <f t="shared" si="7"/>
        <v>0</v>
      </c>
      <c r="O41" s="117">
        <f>50966-J41</f>
        <v>50965</v>
      </c>
      <c r="P41" s="118">
        <f>J41-IFERROR(VLOOKUP(A41,$R$26:$U$119,4,FALSE),0)+702</f>
        <v>703</v>
      </c>
      <c r="Q41" s="33">
        <f t="shared" si="5"/>
        <v>0.01282051282051282</v>
      </c>
      <c r="R41" s="32"/>
      <c r="S41" s="32"/>
      <c r="T41" s="32"/>
      <c r="U41" s="119"/>
      <c r="V41" s="34"/>
      <c r="W41" s="32"/>
      <c r="X41" s="34"/>
      <c r="Y41" s="32"/>
      <c r="Z41" s="32"/>
      <c r="AA41" s="32"/>
      <c r="AB41" s="32"/>
      <c r="AC41" s="116"/>
      <c r="AD41" s="120"/>
      <c r="AE41" s="32"/>
      <c r="AF41" s="32"/>
      <c r="AG41" s="32"/>
      <c r="AH41" s="32"/>
      <c r="AI41" s="35">
        <v>8</v>
      </c>
      <c r="AJ41" s="36">
        <f t="shared" si="6"/>
        <v>0</v>
      </c>
      <c r="AN41" s="114"/>
    </row>
    <row r="42" ht="27.95" customHeight="1" hidden="1" spans="1:40" x14ac:dyDescent="0.25">
      <c r="A42" s="38" t="s">
        <v>161</v>
      </c>
      <c r="B42" s="39" t="s">
        <v>162</v>
      </c>
      <c r="C42" s="39"/>
      <c r="D42" s="39"/>
      <c r="E42" s="39"/>
      <c r="F42" s="32"/>
      <c r="G42" s="32"/>
      <c r="H42" s="31">
        <v>78</v>
      </c>
      <c r="I42" s="32"/>
      <c r="J42" s="33">
        <v>0</v>
      </c>
      <c r="K42" s="34"/>
      <c r="L42" s="32" t="s">
        <v>31</v>
      </c>
      <c r="M42" s="115">
        <f>+J42-N42</f>
        <v>0</v>
      </c>
      <c r="N42" s="116">
        <f t="shared" si="7"/>
        <v>0</v>
      </c>
      <c r="O42" s="117">
        <f>50966-J42</f>
        <v>50966</v>
      </c>
      <c r="P42" s="118">
        <f>J42-IFERROR(VLOOKUP(A42,$R$26:$U$119,4,FALSE),0)+702</f>
        <v>702</v>
      </c>
      <c r="Q42" s="33">
        <f t="shared" si="5"/>
        <v>0</v>
      </c>
      <c r="R42" s="32"/>
      <c r="S42" s="32"/>
      <c r="T42" s="32"/>
      <c r="U42" s="119"/>
      <c r="V42" s="34"/>
      <c r="W42" s="32"/>
      <c r="X42" s="34"/>
      <c r="Y42" s="32"/>
      <c r="Z42" s="32"/>
      <c r="AA42" s="32"/>
      <c r="AB42" s="32"/>
      <c r="AC42" s="116"/>
      <c r="AD42" s="120"/>
      <c r="AE42" s="32"/>
      <c r="AF42" s="32"/>
      <c r="AG42" s="32"/>
      <c r="AH42" s="32"/>
      <c r="AI42" s="35">
        <v>0</v>
      </c>
      <c r="AJ42" s="36">
        <f t="shared" si="6"/>
        <v>0</v>
      </c>
      <c r="AN42" s="114"/>
    </row>
    <row r="43" ht="27.95" customHeight="1" spans="1:40" x14ac:dyDescent="0.25">
      <c r="A43" s="38" t="s">
        <v>46</v>
      </c>
      <c r="B43" s="39" t="s">
        <v>47</v>
      </c>
      <c r="C43" s="39"/>
      <c r="D43" s="39"/>
      <c r="E43" s="39"/>
      <c r="F43" s="32"/>
      <c r="G43" s="32"/>
      <c r="H43" s="31">
        <v>78</v>
      </c>
      <c r="I43" s="32"/>
      <c r="J43" s="33">
        <v>5853</v>
      </c>
      <c r="K43" s="34"/>
      <c r="L43" s="32" t="s">
        <v>31</v>
      </c>
      <c r="M43" s="115">
        <f>+J43-N43</f>
        <v>5853</v>
      </c>
      <c r="N43" s="116">
        <f t="shared" si="7"/>
        <v>0</v>
      </c>
      <c r="O43" s="117">
        <f>50966-J43</f>
        <v>45113</v>
      </c>
      <c r="P43" s="118">
        <f>J43-IFERROR(VLOOKUP(A43,$R$26:$U$119,4,FALSE),0)+702</f>
        <v>6555</v>
      </c>
      <c r="Q43" s="33">
        <f t="shared" si="5"/>
        <v>75.03846153846153</v>
      </c>
      <c r="R43" s="32"/>
      <c r="S43" s="32"/>
      <c r="T43" s="32"/>
      <c r="U43" s="119"/>
      <c r="V43" s="34"/>
      <c r="W43" s="32"/>
      <c r="X43" s="34"/>
      <c r="Y43" s="32"/>
      <c r="Z43" s="32"/>
      <c r="AA43" s="32"/>
      <c r="AB43" s="32"/>
      <c r="AC43" s="116"/>
      <c r="AD43" s="120"/>
      <c r="AE43" s="32"/>
      <c r="AF43" s="32"/>
      <c r="AG43" s="32"/>
      <c r="AH43" s="32"/>
      <c r="AI43" s="35">
        <v>9</v>
      </c>
      <c r="AJ43" s="36">
        <f t="shared" si="6"/>
        <v>8.3</v>
      </c>
      <c r="AM43" s="123"/>
      <c r="AN43" s="114"/>
    </row>
    <row r="44" ht="27.95" customHeight="1" spans="1:40" x14ac:dyDescent="0.25">
      <c r="A44" s="41" t="s">
        <v>48</v>
      </c>
      <c r="B44" s="42" t="s">
        <v>49</v>
      </c>
      <c r="C44" s="42"/>
      <c r="D44" s="42"/>
      <c r="E44" s="42"/>
      <c r="F44" s="44"/>
      <c r="G44" s="44"/>
      <c r="H44" s="43">
        <v>160</v>
      </c>
      <c r="I44" s="44"/>
      <c r="J44" s="37">
        <f>4799+1</f>
        <v>4800</v>
      </c>
      <c r="K44" s="44"/>
      <c r="L44" s="44" t="s">
        <v>31</v>
      </c>
      <c r="M44" s="124">
        <f t="shared" si="1"/>
        <v>-42995</v>
      </c>
      <c r="N44" s="125">
        <f t="shared" si="7"/>
        <v>47795</v>
      </c>
      <c r="O44" s="126">
        <f>53358-J44</f>
        <v>48558</v>
      </c>
      <c r="P44" s="127">
        <f>J44-IFERROR(VLOOKUP(A44,$R$26:$U$119,4,FALSE),0)+5280</f>
        <v>-37715</v>
      </c>
      <c r="Q44" s="23">
        <f t="shared" si="5"/>
        <v>30</v>
      </c>
      <c r="R44" s="44" t="s">
        <v>32</v>
      </c>
      <c r="S44" s="44" t="s">
        <v>33</v>
      </c>
      <c r="T44" s="44" t="s">
        <v>129</v>
      </c>
      <c r="U44" s="119">
        <v>50930</v>
      </c>
      <c r="V44" s="45">
        <v>3570</v>
      </c>
      <c r="W44" s="44"/>
      <c r="X44" s="45">
        <v>3714</v>
      </c>
      <c r="Y44" s="44" t="s">
        <v>130</v>
      </c>
      <c r="Z44" s="44" t="s">
        <v>163</v>
      </c>
      <c r="AA44" s="44"/>
      <c r="AB44" s="44"/>
      <c r="AC44" s="125"/>
      <c r="AD44" s="128"/>
      <c r="AE44" s="44"/>
      <c r="AF44" s="44"/>
      <c r="AG44" s="44"/>
      <c r="AH44" s="44"/>
      <c r="AI44" s="46">
        <v>46</v>
      </c>
      <c r="AJ44" s="47">
        <f t="shared" si="6"/>
        <v>0.7</v>
      </c>
      <c r="AN44" s="114"/>
    </row>
    <row r="45" ht="27.95" customHeight="1" spans="1:40" x14ac:dyDescent="0.25">
      <c r="A45" s="38" t="s">
        <v>50</v>
      </c>
      <c r="B45" s="39" t="s">
        <v>51</v>
      </c>
      <c r="C45" s="39"/>
      <c r="D45" s="39"/>
      <c r="E45" s="39"/>
      <c r="F45" s="32"/>
      <c r="G45" s="32"/>
      <c r="H45" s="31">
        <v>160</v>
      </c>
      <c r="I45" s="32"/>
      <c r="J45" s="33">
        <f>58+3040</f>
        <v>3098</v>
      </c>
      <c r="K45" s="32"/>
      <c r="L45" s="32" t="s">
        <v>31</v>
      </c>
      <c r="M45" s="115">
        <f t="shared" si="1"/>
        <v>-8005</v>
      </c>
      <c r="N45" s="116">
        <f t="shared" si="7"/>
        <v>11103</v>
      </c>
      <c r="O45" s="117">
        <f>20108-J45</f>
        <v>17010</v>
      </c>
      <c r="P45" s="118">
        <f>J45-IFERROR(VLOOKUP(A45,$R$26:$U$119,4,FALSE),0)+960</f>
        <v>-7045</v>
      </c>
      <c r="Q45" s="33">
        <f t="shared" si="5"/>
        <v>19.3625</v>
      </c>
      <c r="R45" s="32"/>
      <c r="S45" s="32"/>
      <c r="T45" s="32"/>
      <c r="U45" s="119"/>
      <c r="V45" s="34"/>
      <c r="W45" s="32"/>
      <c r="X45" s="34"/>
      <c r="Y45" s="32" t="s">
        <v>164</v>
      </c>
      <c r="Z45" s="32" t="s">
        <v>165</v>
      </c>
      <c r="AA45" s="32"/>
      <c r="AB45" s="32"/>
      <c r="AC45" s="116"/>
      <c r="AD45" s="120"/>
      <c r="AE45" s="32"/>
      <c r="AF45" s="32"/>
      <c r="AG45" s="32"/>
      <c r="AH45" s="32"/>
      <c r="AI45" s="35">
        <v>6</v>
      </c>
      <c r="AJ45" s="36">
        <f t="shared" si="6"/>
        <v>3.2</v>
      </c>
      <c r="AM45" s="129"/>
      <c r="AN45" s="114"/>
    </row>
    <row r="46" ht="27.95" customHeight="1" spans="1:40" x14ac:dyDescent="0.25">
      <c r="A46" s="38" t="s">
        <v>52</v>
      </c>
      <c r="B46" s="39" t="s">
        <v>53</v>
      </c>
      <c r="C46" s="39"/>
      <c r="D46" s="39"/>
      <c r="E46" s="39"/>
      <c r="F46" s="32"/>
      <c r="G46" s="32"/>
      <c r="H46" s="31">
        <v>160</v>
      </c>
      <c r="I46" s="32"/>
      <c r="J46" s="33">
        <f>7717+6022</f>
        <v>13739</v>
      </c>
      <c r="K46" s="32"/>
      <c r="L46" s="32" t="s">
        <v>31</v>
      </c>
      <c r="M46" s="115">
        <f t="shared" si="1"/>
        <v>10777</v>
      </c>
      <c r="N46" s="116">
        <f t="shared" si="7"/>
        <v>2962</v>
      </c>
      <c r="O46" s="117">
        <f>6244-J46</f>
        <v>-7495</v>
      </c>
      <c r="P46" s="118">
        <f>J46-IFERROR(VLOOKUP(A46,$R$26:$U$119,4,FALSE),0)+1760</f>
        <v>12537</v>
      </c>
      <c r="Q46" s="33">
        <f t="shared" si="5"/>
        <v>85.86875</v>
      </c>
      <c r="R46" s="120"/>
      <c r="S46" s="32"/>
      <c r="T46" s="32"/>
      <c r="U46" s="128"/>
      <c r="V46" s="32"/>
      <c r="W46" s="32"/>
      <c r="X46" s="32"/>
      <c r="Y46" s="32"/>
      <c r="Z46" s="32"/>
      <c r="AA46" s="32"/>
      <c r="AB46" s="120"/>
      <c r="AC46" s="116"/>
      <c r="AD46" s="120"/>
      <c r="AE46" s="32"/>
      <c r="AF46" s="32"/>
      <c r="AG46" s="32"/>
      <c r="AH46" s="32"/>
      <c r="AI46" s="35">
        <v>20</v>
      </c>
      <c r="AJ46" s="36">
        <f t="shared" si="6"/>
        <v>4.3</v>
      </c>
      <c r="AN46" s="114"/>
    </row>
    <row r="47" ht="27.95" customHeight="1" hidden="1" spans="1:40" x14ac:dyDescent="0.25">
      <c r="A47" s="38" t="s">
        <v>166</v>
      </c>
      <c r="B47" s="39" t="s">
        <v>167</v>
      </c>
      <c r="C47" s="39"/>
      <c r="D47" s="39"/>
      <c r="E47" s="39"/>
      <c r="F47" s="32"/>
      <c r="G47" s="32"/>
      <c r="H47" s="31">
        <v>160</v>
      </c>
      <c r="I47" s="32"/>
      <c r="J47" s="33">
        <v>0</v>
      </c>
      <c r="K47" s="32"/>
      <c r="L47" s="32" t="s">
        <v>31</v>
      </c>
      <c r="M47" s="115">
        <f t="shared" si="1"/>
        <v>0</v>
      </c>
      <c r="N47" s="116">
        <f t="shared" si="7"/>
        <v>0</v>
      </c>
      <c r="O47" s="117">
        <f>1121-J47</f>
        <v>1121</v>
      </c>
      <c r="P47" s="122">
        <f>J47-IFERROR(VLOOKUP(A47,$R$26:$U$119,4,FALSE),0)+0</f>
        <v>0</v>
      </c>
      <c r="Q47" s="33">
        <f t="shared" si="5"/>
        <v>0</v>
      </c>
      <c r="R47" s="32"/>
      <c r="S47" s="32"/>
      <c r="T47" s="32"/>
      <c r="U47" s="119"/>
      <c r="V47" s="34"/>
      <c r="W47" s="32"/>
      <c r="X47" s="34"/>
      <c r="Y47" s="32"/>
      <c r="Z47" s="32"/>
      <c r="AA47" s="32"/>
      <c r="AB47" s="32"/>
      <c r="AC47" s="116"/>
      <c r="AD47" s="120"/>
      <c r="AE47" s="32"/>
      <c r="AF47" s="32"/>
      <c r="AG47" s="32"/>
      <c r="AH47" s="32"/>
      <c r="AI47" s="35">
        <v>0</v>
      </c>
      <c r="AJ47" s="36">
        <f t="shared" si="6"/>
        <v>0</v>
      </c>
      <c r="AN47" s="114"/>
    </row>
    <row r="48" ht="27.95" customHeight="1" spans="1:40" x14ac:dyDescent="0.25">
      <c r="A48" s="38" t="s">
        <v>54</v>
      </c>
      <c r="B48" s="39" t="s">
        <v>55</v>
      </c>
      <c r="C48" s="39"/>
      <c r="D48" s="39"/>
      <c r="E48" s="39"/>
      <c r="F48" s="32"/>
      <c r="G48" s="32"/>
      <c r="H48" s="31">
        <v>160</v>
      </c>
      <c r="I48" s="32"/>
      <c r="J48" s="33">
        <f>2093</f>
        <v>2093</v>
      </c>
      <c r="K48" s="32"/>
      <c r="L48" s="49" t="s">
        <v>31</v>
      </c>
      <c r="M48" s="115">
        <f t="shared" si="1"/>
        <v>2087</v>
      </c>
      <c r="N48" s="116">
        <f t="shared" si="7"/>
        <v>6</v>
      </c>
      <c r="O48" s="117">
        <f>30490-J48</f>
        <v>28397</v>
      </c>
      <c r="P48" s="118">
        <f>J48-IFERROR(VLOOKUP(A48,$R$26:$U$119,4,FALSE),0)+2880+0</f>
        <v>4967</v>
      </c>
      <c r="Q48" s="33">
        <f t="shared" si="5"/>
        <v>13.08125</v>
      </c>
      <c r="R48" s="32"/>
      <c r="S48" s="32"/>
      <c r="T48" s="32"/>
      <c r="U48" s="119"/>
      <c r="V48" s="34"/>
      <c r="W48" s="32"/>
      <c r="X48" s="34"/>
      <c r="Y48" s="32"/>
      <c r="Z48" s="32"/>
      <c r="AA48" s="32"/>
      <c r="AB48" s="32"/>
      <c r="AC48" s="116"/>
      <c r="AD48" s="120"/>
      <c r="AE48" s="32"/>
      <c r="AF48" s="32"/>
      <c r="AG48" s="32"/>
      <c r="AH48" s="32"/>
      <c r="AI48" s="35">
        <v>20</v>
      </c>
      <c r="AJ48" s="36">
        <f t="shared" si="6"/>
        <v>0.7</v>
      </c>
      <c r="AM48" s="129"/>
      <c r="AN48" s="114"/>
    </row>
    <row r="49" ht="27.95" customHeight="1" hidden="1" spans="1:40" x14ac:dyDescent="0.25">
      <c r="A49" s="38" t="s">
        <v>168</v>
      </c>
      <c r="B49" s="39" t="s">
        <v>169</v>
      </c>
      <c r="C49" s="39"/>
      <c r="D49" s="39"/>
      <c r="E49" s="39"/>
      <c r="F49" s="32"/>
      <c r="G49" s="32"/>
      <c r="H49" s="31">
        <v>160</v>
      </c>
      <c r="I49" s="32"/>
      <c r="J49" s="33">
        <v>0</v>
      </c>
      <c r="K49" s="32"/>
      <c r="L49" s="32" t="s">
        <v>31</v>
      </c>
      <c r="M49" s="115"/>
      <c r="N49" s="116"/>
      <c r="O49" s="117"/>
      <c r="P49" s="118"/>
      <c r="Q49" s="33">
        <f t="shared" si="5"/>
        <v>0</v>
      </c>
      <c r="R49" s="32"/>
      <c r="S49" s="32"/>
      <c r="T49" s="32"/>
      <c r="U49" s="119"/>
      <c r="V49" s="34"/>
      <c r="W49" s="32"/>
      <c r="X49" s="34"/>
      <c r="Y49" s="32"/>
      <c r="Z49" s="32"/>
      <c r="AA49" s="32"/>
      <c r="AB49" s="32"/>
      <c r="AC49" s="116"/>
      <c r="AD49" s="120"/>
      <c r="AE49" s="32"/>
      <c r="AF49" s="32"/>
      <c r="AG49" s="32"/>
      <c r="AH49" s="32"/>
      <c r="AI49" s="35">
        <v>0</v>
      </c>
      <c r="AJ49" s="36">
        <f t="shared" si="6"/>
        <v>0</v>
      </c>
      <c r="AN49" s="114"/>
    </row>
    <row r="50" ht="27.95" customHeight="1" hidden="1" spans="1:40" x14ac:dyDescent="0.25">
      <c r="A50" s="38" t="s">
        <v>170</v>
      </c>
      <c r="B50" s="39" t="s">
        <v>171</v>
      </c>
      <c r="C50" s="39"/>
      <c r="D50" s="39"/>
      <c r="E50" s="39"/>
      <c r="F50" s="32"/>
      <c r="G50" s="32"/>
      <c r="H50" s="31">
        <v>160</v>
      </c>
      <c r="I50" s="32"/>
      <c r="J50" s="33">
        <v>0</v>
      </c>
      <c r="K50" s="32"/>
      <c r="L50" s="32" t="s">
        <v>31</v>
      </c>
      <c r="M50" s="115"/>
      <c r="N50" s="116"/>
      <c r="O50" s="117"/>
      <c r="P50" s="118"/>
      <c r="Q50" s="33">
        <f t="shared" si="5"/>
        <v>0</v>
      </c>
      <c r="R50" s="32"/>
      <c r="S50" s="32"/>
      <c r="T50" s="32"/>
      <c r="U50" s="119"/>
      <c r="V50" s="34"/>
      <c r="W50" s="32"/>
      <c r="X50" s="34"/>
      <c r="Y50" s="32"/>
      <c r="Z50" s="32"/>
      <c r="AA50" s="32"/>
      <c r="AB50" s="32"/>
      <c r="AC50" s="116"/>
      <c r="AD50" s="120"/>
      <c r="AE50" s="32"/>
      <c r="AF50" s="32"/>
      <c r="AG50" s="32"/>
      <c r="AH50" s="32"/>
      <c r="AI50" s="35">
        <v>0</v>
      </c>
      <c r="AJ50" s="36">
        <f t="shared" si="6"/>
        <v>0</v>
      </c>
      <c r="AN50" s="114"/>
    </row>
    <row r="51" ht="27.95" customHeight="1" hidden="1" spans="1:40" x14ac:dyDescent="0.25">
      <c r="A51" s="38" t="s">
        <v>172</v>
      </c>
      <c r="B51" s="39" t="s">
        <v>173</v>
      </c>
      <c r="C51" s="39"/>
      <c r="D51" s="39"/>
      <c r="E51" s="39"/>
      <c r="F51" s="32"/>
      <c r="G51" s="32"/>
      <c r="H51" s="31">
        <v>160</v>
      </c>
      <c r="I51" s="32"/>
      <c r="J51" s="33">
        <v>0</v>
      </c>
      <c r="K51" s="32"/>
      <c r="L51" s="32" t="s">
        <v>31</v>
      </c>
      <c r="M51" s="115"/>
      <c r="N51" s="116"/>
      <c r="O51" s="117"/>
      <c r="P51" s="118"/>
      <c r="Q51" s="33">
        <f t="shared" si="5"/>
        <v>0</v>
      </c>
      <c r="R51" s="32"/>
      <c r="S51" s="32"/>
      <c r="T51" s="32"/>
      <c r="U51" s="119"/>
      <c r="V51" s="34"/>
      <c r="W51" s="32"/>
      <c r="X51" s="34"/>
      <c r="Y51" s="32"/>
      <c r="Z51" s="32"/>
      <c r="AA51" s="32"/>
      <c r="AB51" s="32"/>
      <c r="AC51" s="116"/>
      <c r="AD51" s="120"/>
      <c r="AE51" s="32"/>
      <c r="AF51" s="32"/>
      <c r="AG51" s="32"/>
      <c r="AH51" s="32"/>
      <c r="AI51" s="35">
        <v>0</v>
      </c>
      <c r="AJ51" s="36">
        <f t="shared" si="6"/>
        <v>0</v>
      </c>
      <c r="AN51" s="114"/>
    </row>
    <row r="52" ht="27.95" customHeight="1" spans="1:42" x14ac:dyDescent="0.25">
      <c r="A52" s="38" t="s">
        <v>56</v>
      </c>
      <c r="B52" s="39" t="s">
        <v>57</v>
      </c>
      <c r="C52" s="39"/>
      <c r="D52" s="39"/>
      <c r="E52" s="39"/>
      <c r="F52" s="32"/>
      <c r="G52" s="32"/>
      <c r="H52" s="31">
        <v>160</v>
      </c>
      <c r="I52" s="32"/>
      <c r="J52" s="33">
        <v>2562</v>
      </c>
      <c r="K52" s="32"/>
      <c r="L52" s="32" t="s">
        <v>31</v>
      </c>
      <c r="M52" s="115"/>
      <c r="N52" s="116"/>
      <c r="O52" s="117"/>
      <c r="P52" s="118"/>
      <c r="Q52" s="33">
        <f t="shared" si="5"/>
        <v>16.0125</v>
      </c>
      <c r="R52" s="32"/>
      <c r="S52" s="32"/>
      <c r="T52" s="32"/>
      <c r="U52" s="119"/>
      <c r="V52" s="34"/>
      <c r="W52" s="32"/>
      <c r="X52" s="34"/>
      <c r="Y52" s="32"/>
      <c r="Z52" s="32"/>
      <c r="AA52" s="32"/>
      <c r="AB52" s="32"/>
      <c r="AC52" s="116"/>
      <c r="AD52" s="120"/>
      <c r="AE52" s="32"/>
      <c r="AF52" s="32"/>
      <c r="AG52" s="32"/>
      <c r="AH52" s="32"/>
      <c r="AI52" s="35">
        <v>4</v>
      </c>
      <c r="AJ52" s="36">
        <f t="shared" si="6"/>
        <v>4</v>
      </c>
      <c r="AN52" s="114"/>
      <c r="AP52" s="28"/>
    </row>
    <row r="53" ht="27.95" customHeight="1" hidden="1" spans="1:40" x14ac:dyDescent="0.25">
      <c r="A53" s="29" t="s">
        <v>174</v>
      </c>
      <c r="B53" s="30" t="s">
        <v>175</v>
      </c>
      <c r="C53" s="30"/>
      <c r="D53" s="30"/>
      <c r="E53" s="39"/>
      <c r="F53" s="32"/>
      <c r="G53" s="32"/>
      <c r="H53" s="31">
        <v>70</v>
      </c>
      <c r="I53" s="32"/>
      <c r="J53" s="33">
        <v>0</v>
      </c>
      <c r="K53" s="34"/>
      <c r="L53" s="34" t="s">
        <v>16</v>
      </c>
      <c r="M53" s="115">
        <f t="shared" si="1"/>
        <v>0</v>
      </c>
      <c r="N53" s="34">
        <f t="shared" ref="N53:N82" si="8">+IFERROR(VLOOKUP(A53,$R$26:$U$119,4,FALSE),0)-0</f>
        <v>0</v>
      </c>
      <c r="O53" s="32"/>
      <c r="P53" s="118">
        <f t="shared" ref="P53:P62" si="9">J53-IFERROR(VLOOKUP(A53,$R$26:$U$119,4,FALSE),0)+0</f>
        <v>0</v>
      </c>
      <c r="Q53" s="33">
        <f t="shared" si="5"/>
        <v>0</v>
      </c>
      <c r="R53" s="32"/>
      <c r="S53" s="32"/>
      <c r="T53" s="32"/>
      <c r="U53" s="119"/>
      <c r="V53" s="34"/>
      <c r="W53" s="32"/>
      <c r="X53" s="34"/>
      <c r="Y53" s="32"/>
      <c r="Z53" s="32"/>
      <c r="AA53" s="32"/>
      <c r="AB53" s="32"/>
      <c r="AC53" s="116"/>
      <c r="AD53" s="120"/>
      <c r="AE53" s="32"/>
      <c r="AF53" s="32"/>
      <c r="AG53" s="32"/>
      <c r="AH53" s="32"/>
      <c r="AI53" s="35">
        <v>0</v>
      </c>
      <c r="AJ53" s="36">
        <f t="shared" si="6"/>
        <v>0</v>
      </c>
      <c r="AN53" s="114"/>
    </row>
    <row r="54" ht="27.95" customHeight="1" hidden="1" spans="1:40" x14ac:dyDescent="0.25">
      <c r="A54" s="29" t="s">
        <v>176</v>
      </c>
      <c r="B54" s="30" t="s">
        <v>177</v>
      </c>
      <c r="C54" s="30"/>
      <c r="D54" s="30"/>
      <c r="E54" s="39"/>
      <c r="F54" s="32"/>
      <c r="G54" s="32"/>
      <c r="H54" s="31">
        <v>70</v>
      </c>
      <c r="I54" s="32"/>
      <c r="J54" s="48">
        <v>0</v>
      </c>
      <c r="K54" s="34"/>
      <c r="L54" s="34" t="s">
        <v>16</v>
      </c>
      <c r="M54" s="115">
        <f t="shared" si="1"/>
        <v>0</v>
      </c>
      <c r="N54" s="130">
        <f t="shared" si="8"/>
        <v>0</v>
      </c>
      <c r="O54" s="32"/>
      <c r="P54" s="118">
        <f t="shared" si="9"/>
        <v>0</v>
      </c>
      <c r="Q54" s="33">
        <f t="shared" si="5"/>
        <v>0</v>
      </c>
      <c r="R54" s="32"/>
      <c r="S54" s="32"/>
      <c r="T54" s="32"/>
      <c r="U54" s="119"/>
      <c r="V54" s="34"/>
      <c r="W54" s="32"/>
      <c r="X54" s="34"/>
      <c r="Y54" s="32"/>
      <c r="Z54" s="32"/>
      <c r="AA54" s="32"/>
      <c r="AB54" s="32"/>
      <c r="AC54" s="116"/>
      <c r="AD54" s="120"/>
      <c r="AE54" s="32"/>
      <c r="AF54" s="32"/>
      <c r="AG54" s="32"/>
      <c r="AH54" s="32"/>
      <c r="AI54" s="35">
        <v>0</v>
      </c>
      <c r="AJ54" s="36">
        <f t="shared" si="6"/>
        <v>0</v>
      </c>
      <c r="AN54" s="114"/>
    </row>
    <row r="55" ht="27.95" customHeight="1" hidden="1" spans="1:40" x14ac:dyDescent="0.25">
      <c r="A55" s="29" t="s">
        <v>178</v>
      </c>
      <c r="B55" s="30" t="s">
        <v>179</v>
      </c>
      <c r="C55" s="30"/>
      <c r="D55" s="30"/>
      <c r="E55" s="39"/>
      <c r="F55" s="32"/>
      <c r="G55" s="32"/>
      <c r="H55" s="31">
        <v>70</v>
      </c>
      <c r="I55" s="32"/>
      <c r="J55" s="48">
        <v>0</v>
      </c>
      <c r="K55" s="34"/>
      <c r="L55" s="34" t="s">
        <v>16</v>
      </c>
      <c r="M55" s="115">
        <f t="shared" si="1"/>
        <v>0</v>
      </c>
      <c r="N55" s="130">
        <f t="shared" si="8"/>
        <v>0</v>
      </c>
      <c r="O55" s="32"/>
      <c r="P55" s="118">
        <f t="shared" si="9"/>
        <v>0</v>
      </c>
      <c r="Q55" s="33">
        <f t="shared" si="5"/>
        <v>0</v>
      </c>
      <c r="R55" s="32"/>
      <c r="S55" s="32"/>
      <c r="T55" s="32"/>
      <c r="U55" s="119"/>
      <c r="V55" s="34"/>
      <c r="W55" s="32"/>
      <c r="X55" s="34"/>
      <c r="Y55" s="32"/>
      <c r="Z55" s="32"/>
      <c r="AA55" s="32"/>
      <c r="AB55" s="32"/>
      <c r="AC55" s="116"/>
      <c r="AD55" s="120"/>
      <c r="AE55" s="32"/>
      <c r="AF55" s="32"/>
      <c r="AG55" s="32"/>
      <c r="AH55" s="32"/>
      <c r="AI55" s="35">
        <v>0</v>
      </c>
      <c r="AJ55" s="36">
        <f t="shared" si="6"/>
        <v>0</v>
      </c>
      <c r="AN55" s="114"/>
    </row>
    <row r="56" ht="27.95" customHeight="1" hidden="1" spans="1:40" x14ac:dyDescent="0.25">
      <c r="A56" s="29" t="s">
        <v>180</v>
      </c>
      <c r="B56" s="30" t="s">
        <v>181</v>
      </c>
      <c r="C56" s="30"/>
      <c r="D56" s="30"/>
      <c r="E56" s="39"/>
      <c r="F56" s="32"/>
      <c r="G56" s="32"/>
      <c r="H56" s="31">
        <v>70</v>
      </c>
      <c r="I56" s="32"/>
      <c r="J56" s="48">
        <v>0</v>
      </c>
      <c r="K56" s="34"/>
      <c r="L56" s="34" t="s">
        <v>16</v>
      </c>
      <c r="M56" s="115">
        <f t="shared" si="1"/>
        <v>0</v>
      </c>
      <c r="N56" s="130">
        <f t="shared" si="8"/>
        <v>0</v>
      </c>
      <c r="O56" s="32"/>
      <c r="P56" s="118">
        <f t="shared" si="9"/>
        <v>0</v>
      </c>
      <c r="Q56" s="33">
        <f t="shared" si="5"/>
        <v>0</v>
      </c>
      <c r="R56" s="32"/>
      <c r="S56" s="32"/>
      <c r="T56" s="32"/>
      <c r="U56" s="119"/>
      <c r="V56" s="34"/>
      <c r="W56" s="32"/>
      <c r="X56" s="34"/>
      <c r="Y56" s="32"/>
      <c r="Z56" s="32"/>
      <c r="AA56" s="32"/>
      <c r="AB56" s="32"/>
      <c r="AC56" s="116"/>
      <c r="AD56" s="120"/>
      <c r="AE56" s="32"/>
      <c r="AF56" s="32"/>
      <c r="AG56" s="32"/>
      <c r="AH56" s="32"/>
      <c r="AI56" s="35">
        <v>0</v>
      </c>
      <c r="AJ56" s="36">
        <f t="shared" si="6"/>
        <v>0</v>
      </c>
      <c r="AN56" s="114"/>
    </row>
    <row r="57" ht="27.95" customHeight="1" hidden="1" spans="1:40" x14ac:dyDescent="0.25">
      <c r="A57" s="29" t="s">
        <v>182</v>
      </c>
      <c r="B57" s="30" t="s">
        <v>183</v>
      </c>
      <c r="C57" s="30"/>
      <c r="D57" s="30"/>
      <c r="E57" s="39"/>
      <c r="F57" s="32"/>
      <c r="G57" s="32"/>
      <c r="H57" s="31">
        <v>70</v>
      </c>
      <c r="I57" s="32"/>
      <c r="J57" s="33">
        <v>0</v>
      </c>
      <c r="K57" s="34"/>
      <c r="L57" s="34" t="s">
        <v>16</v>
      </c>
      <c r="M57" s="115">
        <f t="shared" si="1"/>
        <v>0</v>
      </c>
      <c r="N57" s="34">
        <f t="shared" si="8"/>
        <v>0</v>
      </c>
      <c r="O57" s="32"/>
      <c r="P57" s="118">
        <f t="shared" si="9"/>
        <v>0</v>
      </c>
      <c r="Q57" s="33">
        <f t="shared" si="5"/>
        <v>0</v>
      </c>
      <c r="R57" s="32"/>
      <c r="S57" s="32"/>
      <c r="T57" s="32"/>
      <c r="U57" s="119"/>
      <c r="V57" s="34"/>
      <c r="W57" s="32"/>
      <c r="X57" s="34"/>
      <c r="Y57" s="32"/>
      <c r="Z57" s="32"/>
      <c r="AA57" s="32"/>
      <c r="AB57" s="32"/>
      <c r="AC57" s="116"/>
      <c r="AD57" s="120"/>
      <c r="AE57" s="32"/>
      <c r="AF57" s="32"/>
      <c r="AG57" s="32"/>
      <c r="AH57" s="32"/>
      <c r="AI57" s="35">
        <v>0</v>
      </c>
      <c r="AJ57" s="36">
        <f t="shared" si="6"/>
        <v>0</v>
      </c>
      <c r="AN57" s="114"/>
    </row>
    <row r="58" ht="27.95" customHeight="1" hidden="1" spans="1:40" x14ac:dyDescent="0.25">
      <c r="A58" s="29" t="s">
        <v>184</v>
      </c>
      <c r="B58" s="30" t="s">
        <v>185</v>
      </c>
      <c r="C58" s="30"/>
      <c r="D58" s="30"/>
      <c r="E58" s="39"/>
      <c r="F58" s="32"/>
      <c r="G58" s="32"/>
      <c r="H58" s="31">
        <v>70</v>
      </c>
      <c r="I58" s="32"/>
      <c r="J58" s="33">
        <v>0</v>
      </c>
      <c r="K58" s="34"/>
      <c r="L58" s="34" t="s">
        <v>16</v>
      </c>
      <c r="M58" s="115">
        <f t="shared" si="1"/>
        <v>0</v>
      </c>
      <c r="N58" s="34">
        <f t="shared" si="8"/>
        <v>0</v>
      </c>
      <c r="O58" s="32"/>
      <c r="P58" s="118">
        <f t="shared" si="9"/>
        <v>0</v>
      </c>
      <c r="Q58" s="33">
        <f t="shared" si="5"/>
        <v>0</v>
      </c>
      <c r="R58" s="32"/>
      <c r="S58" s="32"/>
      <c r="T58" s="32"/>
      <c r="U58" s="119"/>
      <c r="V58" s="34"/>
      <c r="W58" s="32"/>
      <c r="X58" s="34"/>
      <c r="Y58" s="32"/>
      <c r="Z58" s="32"/>
      <c r="AA58" s="32"/>
      <c r="AB58" s="32"/>
      <c r="AC58" s="116"/>
      <c r="AD58" s="120"/>
      <c r="AE58" s="32"/>
      <c r="AF58" s="32"/>
      <c r="AG58" s="32"/>
      <c r="AH58" s="32"/>
      <c r="AI58" s="35">
        <v>0</v>
      </c>
      <c r="AJ58" s="36">
        <f t="shared" si="6"/>
        <v>0</v>
      </c>
      <c r="AN58" s="114"/>
    </row>
    <row r="59" ht="27.95" customHeight="1" hidden="1" spans="1:40" x14ac:dyDescent="0.25">
      <c r="A59" s="131" t="s">
        <v>186</v>
      </c>
      <c r="B59" s="132" t="s">
        <v>187</v>
      </c>
      <c r="C59" s="132"/>
      <c r="D59" s="132"/>
      <c r="E59" s="133"/>
      <c r="F59" s="134"/>
      <c r="G59" s="134"/>
      <c r="H59" s="135">
        <v>70</v>
      </c>
      <c r="I59" s="134"/>
      <c r="J59" s="136">
        <v>0</v>
      </c>
      <c r="K59" s="137"/>
      <c r="L59" s="137" t="s">
        <v>31</v>
      </c>
      <c r="M59" s="138">
        <f t="shared" si="1"/>
        <v>0</v>
      </c>
      <c r="N59" s="137">
        <f t="shared" si="8"/>
        <v>0</v>
      </c>
      <c r="O59" s="137"/>
      <c r="P59" s="139">
        <f t="shared" si="9"/>
        <v>0</v>
      </c>
      <c r="Q59" s="136">
        <f t="shared" si="5"/>
        <v>0</v>
      </c>
      <c r="R59" s="32"/>
      <c r="S59" s="32"/>
      <c r="T59" s="32"/>
      <c r="U59" s="119"/>
      <c r="V59" s="34"/>
      <c r="W59" s="32"/>
      <c r="X59" s="34"/>
      <c r="Y59" s="32"/>
      <c r="Z59" s="32"/>
      <c r="AA59" s="32"/>
      <c r="AB59" s="32"/>
      <c r="AC59" s="34"/>
      <c r="AD59" s="120"/>
      <c r="AE59" s="32"/>
      <c r="AF59" s="32"/>
      <c r="AG59" s="32"/>
      <c r="AH59" s="32"/>
      <c r="AI59" s="35">
        <v>0</v>
      </c>
      <c r="AJ59" s="36">
        <f t="shared" si="6"/>
        <v>0</v>
      </c>
      <c r="AN59" s="114"/>
    </row>
    <row r="60" ht="27.95" customHeight="1" hidden="1" spans="1:40" x14ac:dyDescent="0.25">
      <c r="A60" s="131" t="s">
        <v>188</v>
      </c>
      <c r="B60" s="132" t="s">
        <v>189</v>
      </c>
      <c r="C60" s="132"/>
      <c r="D60" s="132"/>
      <c r="E60" s="133"/>
      <c r="F60" s="134"/>
      <c r="G60" s="134"/>
      <c r="H60" s="135">
        <v>70</v>
      </c>
      <c r="I60" s="134"/>
      <c r="J60" s="136">
        <v>0</v>
      </c>
      <c r="K60" s="137"/>
      <c r="L60" s="137" t="s">
        <v>31</v>
      </c>
      <c r="M60" s="138">
        <f t="shared" si="1"/>
        <v>0</v>
      </c>
      <c r="N60" s="137">
        <f t="shared" si="8"/>
        <v>0</v>
      </c>
      <c r="O60" s="134"/>
      <c r="P60" s="139">
        <f t="shared" si="9"/>
        <v>0</v>
      </c>
      <c r="Q60" s="136">
        <f t="shared" si="5"/>
        <v>0</v>
      </c>
      <c r="R60" s="32"/>
      <c r="S60" s="32"/>
      <c r="T60" s="32"/>
      <c r="U60" s="119"/>
      <c r="V60" s="34"/>
      <c r="W60" s="32"/>
      <c r="X60" s="34"/>
      <c r="Y60" s="32"/>
      <c r="Z60" s="32"/>
      <c r="AA60" s="32"/>
      <c r="AB60" s="32"/>
      <c r="AC60" s="34"/>
      <c r="AD60" s="120"/>
      <c r="AE60" s="32"/>
      <c r="AF60" s="32"/>
      <c r="AG60" s="32"/>
      <c r="AH60" s="32"/>
      <c r="AI60" s="35">
        <v>0</v>
      </c>
      <c r="AJ60" s="36">
        <f t="shared" si="6"/>
        <v>0</v>
      </c>
      <c r="AN60" s="114"/>
    </row>
    <row r="61" ht="27.95" customHeight="1" hidden="1" spans="1:40" x14ac:dyDescent="0.25">
      <c r="A61" s="131" t="s">
        <v>190</v>
      </c>
      <c r="B61" s="132" t="s">
        <v>191</v>
      </c>
      <c r="C61" s="132"/>
      <c r="D61" s="132"/>
      <c r="E61" s="133"/>
      <c r="F61" s="134"/>
      <c r="G61" s="134"/>
      <c r="H61" s="135">
        <v>70</v>
      </c>
      <c r="I61" s="134"/>
      <c r="J61" s="136">
        <v>0</v>
      </c>
      <c r="K61" s="137"/>
      <c r="L61" s="137" t="s">
        <v>31</v>
      </c>
      <c r="M61" s="138">
        <f t="shared" si="1"/>
        <v>0</v>
      </c>
      <c r="N61" s="137">
        <f t="shared" si="8"/>
        <v>0</v>
      </c>
      <c r="O61" s="137"/>
      <c r="P61" s="139">
        <f t="shared" si="9"/>
        <v>0</v>
      </c>
      <c r="Q61" s="136">
        <f t="shared" si="5"/>
        <v>0</v>
      </c>
      <c r="R61" s="32"/>
      <c r="S61" s="32"/>
      <c r="T61" s="32"/>
      <c r="U61" s="119"/>
      <c r="V61" s="34"/>
      <c r="W61" s="32"/>
      <c r="X61" s="34"/>
      <c r="Y61" s="32"/>
      <c r="Z61" s="32"/>
      <c r="AA61" s="32"/>
      <c r="AB61" s="32"/>
      <c r="AC61" s="34"/>
      <c r="AD61" s="120"/>
      <c r="AE61" s="32"/>
      <c r="AF61" s="32"/>
      <c r="AG61" s="32"/>
      <c r="AH61" s="32"/>
      <c r="AI61" s="35">
        <v>0</v>
      </c>
      <c r="AJ61" s="36">
        <f t="shared" si="6"/>
        <v>0</v>
      </c>
      <c r="AN61" s="114"/>
    </row>
    <row r="62" ht="27.95" customHeight="1" hidden="1" spans="1:40" x14ac:dyDescent="0.25">
      <c r="A62" s="140" t="s">
        <v>192</v>
      </c>
      <c r="B62" s="141" t="s">
        <v>193</v>
      </c>
      <c r="C62" s="141"/>
      <c r="D62" s="141"/>
      <c r="E62" s="42"/>
      <c r="F62" s="44"/>
      <c r="G62" s="44"/>
      <c r="H62" s="43">
        <v>70</v>
      </c>
      <c r="I62" s="44"/>
      <c r="J62" s="23">
        <v>0</v>
      </c>
      <c r="K62" s="45"/>
      <c r="L62" s="45" t="s">
        <v>16</v>
      </c>
      <c r="M62" s="124">
        <f t="shared" si="1"/>
        <v>0</v>
      </c>
      <c r="N62" s="45">
        <f t="shared" si="8"/>
        <v>0</v>
      </c>
      <c r="O62" s="44"/>
      <c r="P62" s="127">
        <f t="shared" si="9"/>
        <v>0</v>
      </c>
      <c r="Q62" s="23">
        <f t="shared" si="5"/>
        <v>0</v>
      </c>
      <c r="R62" s="32"/>
      <c r="S62" s="32"/>
      <c r="T62" s="32"/>
      <c r="U62" s="119"/>
      <c r="V62" s="34"/>
      <c r="W62" s="32"/>
      <c r="X62" s="34"/>
      <c r="Y62" s="32"/>
      <c r="Z62" s="32"/>
      <c r="AA62" s="32"/>
      <c r="AB62" s="32"/>
      <c r="AC62" s="34"/>
      <c r="AD62" s="120"/>
      <c r="AE62" s="32"/>
      <c r="AF62" s="32"/>
      <c r="AG62" s="32"/>
      <c r="AH62" s="32"/>
      <c r="AI62" s="35">
        <v>0</v>
      </c>
      <c r="AJ62" s="36">
        <f t="shared" si="6"/>
        <v>0</v>
      </c>
      <c r="AN62" s="114"/>
    </row>
    <row r="63" ht="27.95" customHeight="1" spans="1:40" x14ac:dyDescent="0.25">
      <c r="A63" s="50" t="s">
        <v>58</v>
      </c>
      <c r="B63" s="51" t="s">
        <v>59</v>
      </c>
      <c r="C63" s="142"/>
      <c r="D63" s="142"/>
      <c r="E63" s="143"/>
      <c r="F63" s="53"/>
      <c r="G63" s="53"/>
      <c r="H63" s="52">
        <v>50</v>
      </c>
      <c r="I63" s="53"/>
      <c r="J63" s="40">
        <f>1-1</f>
        <v>0</v>
      </c>
      <c r="K63" s="53"/>
      <c r="L63" s="45" t="s">
        <v>16</v>
      </c>
      <c r="M63" s="124">
        <f t="shared" si="1"/>
        <v>-40630</v>
      </c>
      <c r="N63" s="125">
        <f t="shared" si="8"/>
        <v>40630</v>
      </c>
      <c r="O63" s="126">
        <f t="shared" ref="O63:O69" si="10">52606-J63</f>
        <v>52606</v>
      </c>
      <c r="P63" s="127">
        <f t="shared" ref="P63:P69" si="11">J63-IFERROR(VLOOKUP(A63,$R$26:$U$119,4,FALSE),0)+6150</f>
        <v>-34480</v>
      </c>
      <c r="Q63" s="23">
        <f t="shared" si="5"/>
        <v>0</v>
      </c>
      <c r="R63" s="44"/>
      <c r="S63" s="44"/>
      <c r="T63" s="44"/>
      <c r="U63" s="119"/>
      <c r="V63" s="45"/>
      <c r="W63" s="44"/>
      <c r="X63" s="45"/>
      <c r="Y63" s="44"/>
      <c r="Z63" s="44"/>
      <c r="AA63" s="44"/>
      <c r="AB63" s="44"/>
      <c r="AC63" s="125"/>
      <c r="AD63" s="128"/>
      <c r="AE63" s="44"/>
      <c r="AF63" s="44"/>
      <c r="AG63" s="44"/>
      <c r="AH63" s="44"/>
      <c r="AI63" s="46">
        <v>108</v>
      </c>
      <c r="AJ63" s="47">
        <f t="shared" si="6"/>
        <v>0</v>
      </c>
      <c r="AN63" s="114"/>
    </row>
    <row r="64" ht="27.95" customHeight="1" spans="1:40" x14ac:dyDescent="0.25">
      <c r="A64" s="55" t="s">
        <v>60</v>
      </c>
      <c r="B64" s="56" t="s">
        <v>61</v>
      </c>
      <c r="C64" s="144"/>
      <c r="D64" s="144"/>
      <c r="E64" s="145"/>
      <c r="F64" s="58"/>
      <c r="G64" s="58"/>
      <c r="H64" s="57">
        <v>50</v>
      </c>
      <c r="I64" s="58"/>
      <c r="J64" s="33">
        <f>5934+8050</f>
        <v>13984</v>
      </c>
      <c r="K64" s="58"/>
      <c r="L64" s="34" t="s">
        <v>16</v>
      </c>
      <c r="M64" s="115">
        <f t="shared" si="1"/>
        <v>13984</v>
      </c>
      <c r="N64" s="116">
        <f t="shared" si="8"/>
        <v>0</v>
      </c>
      <c r="O64" s="117">
        <f t="shared" si="10"/>
        <v>38622</v>
      </c>
      <c r="P64" s="118">
        <f t="shared" si="11"/>
        <v>20134</v>
      </c>
      <c r="Q64" s="33">
        <f t="shared" si="5"/>
        <v>279.68</v>
      </c>
      <c r="R64" s="32"/>
      <c r="S64" s="32"/>
      <c r="T64" s="32"/>
      <c r="U64" s="119"/>
      <c r="V64" s="34"/>
      <c r="W64" s="32"/>
      <c r="X64" s="34"/>
      <c r="Y64" s="32"/>
      <c r="Z64" s="32"/>
      <c r="AA64" s="32"/>
      <c r="AB64" s="32"/>
      <c r="AC64" s="116"/>
      <c r="AD64" s="120"/>
      <c r="AE64" s="32"/>
      <c r="AF64" s="32"/>
      <c r="AG64" s="32"/>
      <c r="AH64" s="32"/>
      <c r="AI64" s="35">
        <v>130</v>
      </c>
      <c r="AJ64" s="36">
        <f t="shared" si="6"/>
        <v>2.2</v>
      </c>
      <c r="AN64" s="114"/>
    </row>
    <row r="65" ht="27.95" customHeight="1" hidden="1" spans="1:40" x14ac:dyDescent="0.25">
      <c r="A65" s="55" t="s">
        <v>194</v>
      </c>
      <c r="B65" s="56" t="s">
        <v>195</v>
      </c>
      <c r="C65" s="144"/>
      <c r="D65" s="144"/>
      <c r="E65" s="145"/>
      <c r="F65" s="58"/>
      <c r="G65" s="58"/>
      <c r="H65" s="57">
        <v>70</v>
      </c>
      <c r="I65" s="58"/>
      <c r="J65" s="33">
        <v>0</v>
      </c>
      <c r="K65" s="58"/>
      <c r="L65" s="34" t="s">
        <v>16</v>
      </c>
      <c r="M65" s="115">
        <f t="shared" si="1"/>
        <v>0</v>
      </c>
      <c r="N65" s="116">
        <f t="shared" si="8"/>
        <v>0</v>
      </c>
      <c r="O65" s="117">
        <f t="shared" si="10"/>
        <v>52606</v>
      </c>
      <c r="P65" s="118">
        <f t="shared" si="11"/>
        <v>6150</v>
      </c>
      <c r="Q65" s="33">
        <f t="shared" si="5"/>
        <v>0</v>
      </c>
      <c r="R65" s="32"/>
      <c r="S65" s="32"/>
      <c r="T65" s="32"/>
      <c r="U65" s="119"/>
      <c r="V65" s="34"/>
      <c r="W65" s="32"/>
      <c r="X65" s="34"/>
      <c r="Y65" s="32"/>
      <c r="Z65" s="32"/>
      <c r="AA65" s="32"/>
      <c r="AB65" s="32"/>
      <c r="AC65" s="116"/>
      <c r="AD65" s="120"/>
      <c r="AE65" s="32"/>
      <c r="AF65" s="32"/>
      <c r="AG65" s="32"/>
      <c r="AH65" s="32"/>
      <c r="AI65" s="35">
        <v>0</v>
      </c>
      <c r="AJ65" s="36">
        <f t="shared" si="6"/>
        <v>0</v>
      </c>
      <c r="AN65" s="114"/>
    </row>
    <row r="66" ht="27.95" customHeight="1" hidden="1" spans="1:40" x14ac:dyDescent="0.25">
      <c r="A66" s="55" t="s">
        <v>196</v>
      </c>
      <c r="B66" s="56" t="s">
        <v>197</v>
      </c>
      <c r="C66" s="144"/>
      <c r="D66" s="144"/>
      <c r="E66" s="145"/>
      <c r="F66" s="58"/>
      <c r="G66" s="146" t="s">
        <v>198</v>
      </c>
      <c r="H66" s="57">
        <v>50</v>
      </c>
      <c r="I66" s="58"/>
      <c r="J66" s="33">
        <v>0</v>
      </c>
      <c r="K66" s="58"/>
      <c r="L66" s="34" t="s">
        <v>16</v>
      </c>
      <c r="M66" s="115">
        <f t="shared" si="1"/>
        <v>0</v>
      </c>
      <c r="N66" s="116">
        <f t="shared" si="8"/>
        <v>0</v>
      </c>
      <c r="O66" s="117">
        <f t="shared" si="10"/>
        <v>52606</v>
      </c>
      <c r="P66" s="118">
        <f t="shared" si="11"/>
        <v>6150</v>
      </c>
      <c r="Q66" s="33">
        <f t="shared" si="5"/>
        <v>0</v>
      </c>
      <c r="R66" s="32"/>
      <c r="S66" s="32"/>
      <c r="T66" s="32"/>
      <c r="U66" s="119"/>
      <c r="V66" s="34"/>
      <c r="W66" s="32"/>
      <c r="X66" s="34"/>
      <c r="Y66" s="32"/>
      <c r="Z66" s="32"/>
      <c r="AA66" s="32"/>
      <c r="AB66" s="32"/>
      <c r="AC66" s="116"/>
      <c r="AD66" s="120"/>
      <c r="AE66" s="32"/>
      <c r="AF66" s="32"/>
      <c r="AG66" s="32"/>
      <c r="AH66" s="32"/>
      <c r="AI66" s="35">
        <v>0</v>
      </c>
      <c r="AJ66" s="36">
        <f t="shared" si="6"/>
        <v>0</v>
      </c>
      <c r="AN66" s="114"/>
    </row>
    <row r="67" ht="27.95" customHeight="1" hidden="1" spans="1:40" x14ac:dyDescent="0.25">
      <c r="A67" s="55" t="s">
        <v>199</v>
      </c>
      <c r="B67" s="56" t="s">
        <v>200</v>
      </c>
      <c r="C67" s="144"/>
      <c r="D67" s="144"/>
      <c r="E67" s="145"/>
      <c r="F67" s="58"/>
      <c r="G67" s="58"/>
      <c r="H67" s="57">
        <v>70</v>
      </c>
      <c r="I67" s="58"/>
      <c r="J67" s="33">
        <v>0</v>
      </c>
      <c r="K67" s="58"/>
      <c r="L67" s="34" t="s">
        <v>16</v>
      </c>
      <c r="M67" s="115">
        <f t="shared" si="1"/>
        <v>0</v>
      </c>
      <c r="N67" s="116">
        <f t="shared" si="8"/>
        <v>0</v>
      </c>
      <c r="O67" s="117">
        <f t="shared" si="10"/>
        <v>52606</v>
      </c>
      <c r="P67" s="118">
        <f t="shared" si="11"/>
        <v>6150</v>
      </c>
      <c r="Q67" s="33">
        <f t="shared" si="5"/>
        <v>0</v>
      </c>
      <c r="R67" s="32"/>
      <c r="S67" s="32"/>
      <c r="T67" s="32"/>
      <c r="U67" s="119"/>
      <c r="V67" s="34"/>
      <c r="W67" s="32"/>
      <c r="X67" s="34"/>
      <c r="Y67" s="32"/>
      <c r="Z67" s="32"/>
      <c r="AA67" s="32"/>
      <c r="AB67" s="32"/>
      <c r="AC67" s="116"/>
      <c r="AD67" s="120"/>
      <c r="AE67" s="32"/>
      <c r="AF67" s="32"/>
      <c r="AG67" s="32"/>
      <c r="AH67" s="32"/>
      <c r="AI67" s="35">
        <v>0</v>
      </c>
      <c r="AJ67" s="36">
        <f t="shared" si="6"/>
        <v>0</v>
      </c>
      <c r="AN67" s="114"/>
    </row>
    <row r="68" ht="27.95" customHeight="1" spans="1:40" x14ac:dyDescent="0.25">
      <c r="A68" s="55" t="s">
        <v>62</v>
      </c>
      <c r="B68" s="56" t="s">
        <v>63</v>
      </c>
      <c r="C68" s="144"/>
      <c r="D68" s="144"/>
      <c r="E68" s="145"/>
      <c r="F68" s="58"/>
      <c r="G68" s="58"/>
      <c r="H68" s="57">
        <v>50</v>
      </c>
      <c r="I68" s="58"/>
      <c r="J68" s="48">
        <v>12</v>
      </c>
      <c r="K68" s="58"/>
      <c r="L68" s="34" t="s">
        <v>16</v>
      </c>
      <c r="M68" s="115">
        <f t="shared" si="1"/>
        <v>12</v>
      </c>
      <c r="N68" s="116">
        <f t="shared" si="8"/>
        <v>0</v>
      </c>
      <c r="O68" s="117">
        <f t="shared" si="10"/>
        <v>52594</v>
      </c>
      <c r="P68" s="118">
        <f t="shared" si="11"/>
        <v>6162</v>
      </c>
      <c r="Q68" s="33">
        <f t="shared" si="5"/>
        <v>0.24</v>
      </c>
      <c r="R68" s="32"/>
      <c r="S68" s="32"/>
      <c r="T68" s="32"/>
      <c r="U68" s="119"/>
      <c r="V68" s="34"/>
      <c r="W68" s="32"/>
      <c r="X68" s="34"/>
      <c r="Y68" s="32"/>
      <c r="Z68" s="32"/>
      <c r="AA68" s="32"/>
      <c r="AB68" s="32"/>
      <c r="AC68" s="116"/>
      <c r="AD68" s="120"/>
      <c r="AE68" s="32"/>
      <c r="AF68" s="32"/>
      <c r="AG68" s="32"/>
      <c r="AH68" s="32"/>
      <c r="AI68" s="35">
        <v>46</v>
      </c>
      <c r="AJ68" s="36">
        <f t="shared" si="6"/>
        <v>0</v>
      </c>
      <c r="AN68" s="114"/>
    </row>
    <row r="69" ht="27.95" customHeight="1" spans="1:40" x14ac:dyDescent="0.25">
      <c r="A69" s="55" t="s">
        <v>64</v>
      </c>
      <c r="B69" s="56" t="s">
        <v>65</v>
      </c>
      <c r="C69" s="144"/>
      <c r="D69" s="144"/>
      <c r="E69" s="145"/>
      <c r="F69" s="58"/>
      <c r="G69" s="58"/>
      <c r="H69" s="57">
        <v>50</v>
      </c>
      <c r="I69" s="58"/>
      <c r="J69" s="40">
        <f>77-1-1+1400+1400+600</f>
        <v>3475</v>
      </c>
      <c r="K69" s="58"/>
      <c r="L69" s="34" t="s">
        <v>16</v>
      </c>
      <c r="M69" s="115">
        <f t="shared" si="1"/>
        <v>3475</v>
      </c>
      <c r="N69" s="116">
        <f t="shared" si="8"/>
        <v>0</v>
      </c>
      <c r="O69" s="117">
        <f t="shared" si="10"/>
        <v>49131</v>
      </c>
      <c r="P69" s="118">
        <f t="shared" si="11"/>
        <v>9625</v>
      </c>
      <c r="Q69" s="33">
        <f t="shared" si="5"/>
        <v>69.5</v>
      </c>
      <c r="R69" s="32"/>
      <c r="S69" s="32"/>
      <c r="T69" s="32"/>
      <c r="U69" s="119"/>
      <c r="V69" s="34"/>
      <c r="W69" s="32"/>
      <c r="X69" s="34"/>
      <c r="Y69" s="32"/>
      <c r="Z69" s="32"/>
      <c r="AA69" s="32"/>
      <c r="AB69" s="32"/>
      <c r="AC69" s="116"/>
      <c r="AD69" s="120"/>
      <c r="AE69" s="32"/>
      <c r="AF69" s="32"/>
      <c r="AG69" s="32"/>
      <c r="AH69" s="32"/>
      <c r="AI69" s="35">
        <v>80</v>
      </c>
      <c r="AJ69" s="36">
        <f t="shared" si="6"/>
        <v>0.9</v>
      </c>
      <c r="AN69" s="114"/>
    </row>
    <row r="70" ht="27.95" customHeight="1" hidden="1" spans="1:40" x14ac:dyDescent="0.25">
      <c r="A70" s="147" t="s">
        <v>201</v>
      </c>
      <c r="B70" s="148" t="s">
        <v>202</v>
      </c>
      <c r="C70" s="148"/>
      <c r="D70" s="148"/>
      <c r="E70" s="44"/>
      <c r="F70" s="44"/>
      <c r="G70" s="44"/>
      <c r="H70" s="43">
        <v>70</v>
      </c>
      <c r="I70" s="44"/>
      <c r="J70" s="23">
        <v>0</v>
      </c>
      <c r="K70" s="45"/>
      <c r="L70" s="45" t="s">
        <v>16</v>
      </c>
      <c r="M70" s="124">
        <f t="shared" si="1"/>
        <v>0</v>
      </c>
      <c r="N70" s="45">
        <f t="shared" si="8"/>
        <v>0</v>
      </c>
      <c r="O70" s="44"/>
      <c r="P70" s="127">
        <f t="shared" ref="P70:P82" si="12">J70-IFERROR(VLOOKUP(A70,$R$26:$U$119,4,FALSE),0)+0</f>
        <v>0</v>
      </c>
      <c r="Q70" s="23">
        <f t="shared" si="5"/>
        <v>0</v>
      </c>
      <c r="R70" s="32"/>
      <c r="S70" s="32"/>
      <c r="T70" s="32"/>
      <c r="U70" s="119"/>
      <c r="V70" s="34"/>
      <c r="W70" s="34"/>
      <c r="X70" s="34"/>
      <c r="Y70" s="32"/>
      <c r="Z70" s="32"/>
      <c r="AA70" s="32"/>
      <c r="AB70" s="32"/>
      <c r="AC70" s="34"/>
      <c r="AD70" s="120"/>
      <c r="AE70" s="32"/>
      <c r="AF70" s="32"/>
      <c r="AG70" s="32"/>
      <c r="AH70" s="32"/>
      <c r="AI70" s="35">
        <v>0</v>
      </c>
      <c r="AJ70" s="36">
        <f t="shared" si="6"/>
        <v>0</v>
      </c>
      <c r="AN70" s="114"/>
    </row>
    <row r="71" ht="27.95" customHeight="1" hidden="1" spans="1:40" x14ac:dyDescent="0.25">
      <c r="A71" s="147" t="s">
        <v>203</v>
      </c>
      <c r="B71" s="148" t="s">
        <v>204</v>
      </c>
      <c r="C71" s="148"/>
      <c r="D71" s="148"/>
      <c r="E71" s="44"/>
      <c r="F71" s="44"/>
      <c r="G71" s="44"/>
      <c r="H71" s="43">
        <v>70</v>
      </c>
      <c r="I71" s="44"/>
      <c r="J71" s="54">
        <v>0</v>
      </c>
      <c r="K71" s="45"/>
      <c r="L71" s="45" t="s">
        <v>16</v>
      </c>
      <c r="M71" s="124">
        <f t="shared" si="1"/>
        <v>0</v>
      </c>
      <c r="N71" s="149">
        <f t="shared" si="8"/>
        <v>0</v>
      </c>
      <c r="O71" s="44"/>
      <c r="P71" s="127">
        <f t="shared" si="12"/>
        <v>0</v>
      </c>
      <c r="Q71" s="23">
        <f t="shared" si="5"/>
        <v>0</v>
      </c>
      <c r="R71" s="32"/>
      <c r="S71" s="32"/>
      <c r="T71" s="32"/>
      <c r="U71" s="119"/>
      <c r="V71" s="34"/>
      <c r="W71" s="32"/>
      <c r="X71" s="34"/>
      <c r="Y71" s="32"/>
      <c r="Z71" s="32"/>
      <c r="AA71" s="32"/>
      <c r="AB71" s="32"/>
      <c r="AC71" s="130"/>
      <c r="AD71" s="120"/>
      <c r="AE71" s="32"/>
      <c r="AF71" s="32"/>
      <c r="AG71" s="32"/>
      <c r="AH71" s="32"/>
      <c r="AI71" s="35">
        <v>0</v>
      </c>
      <c r="AJ71" s="36">
        <f t="shared" si="6"/>
        <v>0</v>
      </c>
      <c r="AN71" s="114"/>
    </row>
    <row r="72" ht="27.95" customHeight="1" hidden="1" spans="1:40" x14ac:dyDescent="0.25">
      <c r="A72" s="147" t="s">
        <v>205</v>
      </c>
      <c r="B72" s="148" t="s">
        <v>206</v>
      </c>
      <c r="C72" s="148"/>
      <c r="D72" s="148"/>
      <c r="E72" s="44"/>
      <c r="F72" s="44"/>
      <c r="G72" s="44"/>
      <c r="H72" s="43">
        <v>70</v>
      </c>
      <c r="I72" s="44"/>
      <c r="J72" s="54">
        <v>0</v>
      </c>
      <c r="K72" s="45"/>
      <c r="L72" s="45" t="s">
        <v>16</v>
      </c>
      <c r="M72" s="124">
        <f t="shared" si="1"/>
        <v>0</v>
      </c>
      <c r="N72" s="149">
        <f t="shared" si="8"/>
        <v>0</v>
      </c>
      <c r="O72" s="44"/>
      <c r="P72" s="127">
        <f t="shared" si="12"/>
        <v>0</v>
      </c>
      <c r="Q72" s="23">
        <f t="shared" si="5"/>
        <v>0</v>
      </c>
      <c r="R72" s="32"/>
      <c r="S72" s="32"/>
      <c r="T72" s="32"/>
      <c r="U72" s="119"/>
      <c r="V72" s="34"/>
      <c r="W72" s="32"/>
      <c r="X72" s="34"/>
      <c r="Y72" s="32"/>
      <c r="Z72" s="32"/>
      <c r="AA72" s="32"/>
      <c r="AB72" s="32"/>
      <c r="AC72" s="130"/>
      <c r="AD72" s="120"/>
      <c r="AE72" s="32"/>
      <c r="AF72" s="32"/>
      <c r="AG72" s="32"/>
      <c r="AH72" s="32"/>
      <c r="AI72" s="35">
        <v>0</v>
      </c>
      <c r="AJ72" s="36">
        <f t="shared" si="6"/>
        <v>0</v>
      </c>
      <c r="AN72" s="114"/>
    </row>
    <row r="73" ht="27.95" customHeight="1" hidden="1" spans="1:40" x14ac:dyDescent="0.25">
      <c r="A73" s="147" t="s">
        <v>207</v>
      </c>
      <c r="B73" s="148" t="s">
        <v>208</v>
      </c>
      <c r="C73" s="148"/>
      <c r="D73" s="148"/>
      <c r="E73" s="44"/>
      <c r="F73" s="44"/>
      <c r="G73" s="44"/>
      <c r="H73" s="43">
        <v>70</v>
      </c>
      <c r="I73" s="44"/>
      <c r="J73" s="54">
        <v>0</v>
      </c>
      <c r="K73" s="45"/>
      <c r="L73" s="45" t="s">
        <v>16</v>
      </c>
      <c r="M73" s="124">
        <f t="shared" si="1"/>
        <v>0</v>
      </c>
      <c r="N73" s="149">
        <f t="shared" si="8"/>
        <v>0</v>
      </c>
      <c r="O73" s="45"/>
      <c r="P73" s="127">
        <f t="shared" si="12"/>
        <v>0</v>
      </c>
      <c r="Q73" s="23">
        <f t="shared" si="5"/>
        <v>0</v>
      </c>
      <c r="R73" s="32"/>
      <c r="S73" s="32"/>
      <c r="T73" s="32"/>
      <c r="U73" s="119"/>
      <c r="V73" s="34"/>
      <c r="W73" s="32"/>
      <c r="X73" s="34"/>
      <c r="Y73" s="32"/>
      <c r="Z73" s="32"/>
      <c r="AA73" s="32"/>
      <c r="AB73" s="32"/>
      <c r="AC73" s="130"/>
      <c r="AD73" s="120"/>
      <c r="AE73" s="32"/>
      <c r="AF73" s="32"/>
      <c r="AG73" s="32"/>
      <c r="AH73" s="32"/>
      <c r="AI73" s="35">
        <v>0</v>
      </c>
      <c r="AJ73" s="36">
        <f t="shared" si="6"/>
        <v>0</v>
      </c>
      <c r="AN73" s="114"/>
    </row>
    <row r="74" ht="27.95" customHeight="1" spans="1:40" x14ac:dyDescent="0.25">
      <c r="A74" s="50" t="s">
        <v>66</v>
      </c>
      <c r="B74" s="51" t="s">
        <v>67</v>
      </c>
      <c r="C74" s="142"/>
      <c r="D74" s="142"/>
      <c r="E74" s="143"/>
      <c r="F74" s="53"/>
      <c r="G74" s="53"/>
      <c r="H74" s="52">
        <v>160</v>
      </c>
      <c r="I74" s="53"/>
      <c r="J74" s="23">
        <v>482</v>
      </c>
      <c r="K74" s="53"/>
      <c r="L74" s="45" t="s">
        <v>31</v>
      </c>
      <c r="M74" s="124">
        <f t="shared" si="1"/>
        <v>482</v>
      </c>
      <c r="N74" s="125">
        <f t="shared" si="8"/>
        <v>0</v>
      </c>
      <c r="O74" s="126"/>
      <c r="P74" s="127">
        <f t="shared" si="12"/>
        <v>482</v>
      </c>
      <c r="Q74" s="23">
        <f t="shared" si="5"/>
        <v>3.0125</v>
      </c>
      <c r="R74" s="44"/>
      <c r="S74" s="44"/>
      <c r="T74" s="44"/>
      <c r="U74" s="119"/>
      <c r="V74" s="45"/>
      <c r="W74" s="44"/>
      <c r="X74" s="45"/>
      <c r="Y74" s="44"/>
      <c r="Z74" s="44"/>
      <c r="AA74" s="44"/>
      <c r="AB74" s="44"/>
      <c r="AC74" s="149"/>
      <c r="AD74" s="128"/>
      <c r="AE74" s="44"/>
      <c r="AF74" s="44"/>
      <c r="AG74" s="44"/>
      <c r="AH74" s="44"/>
      <c r="AI74" s="46">
        <v>15</v>
      </c>
      <c r="AJ74" s="47">
        <f t="shared" si="6"/>
        <v>0.2</v>
      </c>
      <c r="AN74" s="114"/>
    </row>
    <row r="75" ht="27.95" customHeight="1" spans="1:40" x14ac:dyDescent="0.25">
      <c r="A75" s="55" t="s">
        <v>68</v>
      </c>
      <c r="B75" s="56" t="s">
        <v>69</v>
      </c>
      <c r="C75" s="144"/>
      <c r="D75" s="144"/>
      <c r="E75" s="145"/>
      <c r="F75" s="58"/>
      <c r="G75" s="58"/>
      <c r="H75" s="57">
        <v>160</v>
      </c>
      <c r="I75" s="58"/>
      <c r="J75" s="40">
        <f>125-1</f>
        <v>124</v>
      </c>
      <c r="K75" s="58"/>
      <c r="L75" s="34" t="s">
        <v>31</v>
      </c>
      <c r="M75" s="115">
        <f t="shared" si="1"/>
        <v>124</v>
      </c>
      <c r="N75" s="116">
        <f t="shared" si="8"/>
        <v>0</v>
      </c>
      <c r="O75" s="117"/>
      <c r="P75" s="118">
        <f t="shared" si="12"/>
        <v>124</v>
      </c>
      <c r="Q75" s="33">
        <f t="shared" si="5"/>
        <v>0.775</v>
      </c>
      <c r="R75" s="32"/>
      <c r="S75" s="32"/>
      <c r="T75" s="32"/>
      <c r="U75" s="119"/>
      <c r="V75" s="34"/>
      <c r="W75" s="32"/>
      <c r="X75" s="34"/>
      <c r="Y75" s="32"/>
      <c r="Z75" s="32"/>
      <c r="AA75" s="32"/>
      <c r="AB75" s="32"/>
      <c r="AC75" s="130"/>
      <c r="AD75" s="120"/>
      <c r="AE75" s="32"/>
      <c r="AF75" s="32"/>
      <c r="AG75" s="32"/>
      <c r="AH75" s="32"/>
      <c r="AI75" s="35">
        <v>24</v>
      </c>
      <c r="AJ75" s="36">
        <f t="shared" si="6"/>
        <v>0</v>
      </c>
      <c r="AN75" s="114"/>
    </row>
    <row r="76" ht="27.95" customHeight="1" spans="1:40" x14ac:dyDescent="0.25">
      <c r="A76" s="55" t="s">
        <v>70</v>
      </c>
      <c r="B76" s="56" t="s">
        <v>71</v>
      </c>
      <c r="C76" s="144"/>
      <c r="D76" s="144"/>
      <c r="E76" s="145"/>
      <c r="F76" s="58"/>
      <c r="G76" s="58"/>
      <c r="H76" s="57">
        <v>160</v>
      </c>
      <c r="I76" s="58"/>
      <c r="J76" s="33">
        <v>0</v>
      </c>
      <c r="K76" s="58"/>
      <c r="L76" s="34" t="s">
        <v>31</v>
      </c>
      <c r="M76" s="115">
        <f t="shared" si="1"/>
        <v>0</v>
      </c>
      <c r="N76" s="116">
        <f t="shared" si="8"/>
        <v>0</v>
      </c>
      <c r="O76" s="117"/>
      <c r="P76" s="118">
        <f t="shared" si="12"/>
        <v>0</v>
      </c>
      <c r="Q76" s="33">
        <f t="shared" si="5"/>
        <v>0</v>
      </c>
      <c r="R76" s="32"/>
      <c r="S76" s="32"/>
      <c r="T76" s="32"/>
      <c r="U76" s="119"/>
      <c r="V76" s="34"/>
      <c r="W76" s="32"/>
      <c r="X76" s="34"/>
      <c r="Y76" s="32"/>
      <c r="Z76" s="32"/>
      <c r="AA76" s="32"/>
      <c r="AB76" s="32"/>
      <c r="AC76" s="130"/>
      <c r="AD76" s="120"/>
      <c r="AE76" s="32"/>
      <c r="AF76" s="32"/>
      <c r="AG76" s="32"/>
      <c r="AH76" s="32"/>
      <c r="AI76" s="35">
        <v>21</v>
      </c>
      <c r="AJ76" s="36">
        <f t="shared" si="6"/>
        <v>0</v>
      </c>
      <c r="AN76" s="114"/>
    </row>
    <row r="77" ht="27.95" customHeight="1" spans="1:40" x14ac:dyDescent="0.25">
      <c r="A77" s="55" t="s">
        <v>72</v>
      </c>
      <c r="B77" s="56" t="s">
        <v>73</v>
      </c>
      <c r="C77" s="144"/>
      <c r="D77" s="144"/>
      <c r="E77" s="145"/>
      <c r="F77" s="58"/>
      <c r="G77" s="58"/>
      <c r="H77" s="57">
        <v>160</v>
      </c>
      <c r="I77" s="58"/>
      <c r="J77" s="33">
        <v>8983</v>
      </c>
      <c r="K77" s="58"/>
      <c r="L77" s="34" t="s">
        <v>31</v>
      </c>
      <c r="M77" s="115">
        <f t="shared" si="1"/>
        <v>8983</v>
      </c>
      <c r="N77" s="116">
        <f t="shared" si="8"/>
        <v>0</v>
      </c>
      <c r="O77" s="117"/>
      <c r="P77" s="118">
        <f t="shared" si="12"/>
        <v>8983</v>
      </c>
      <c r="Q77" s="33">
        <f t="shared" si="5"/>
        <v>56.14375</v>
      </c>
      <c r="R77" s="32"/>
      <c r="S77" s="32"/>
      <c r="T77" s="32"/>
      <c r="U77" s="119"/>
      <c r="V77" s="34"/>
      <c r="W77" s="32"/>
      <c r="X77" s="34"/>
      <c r="Y77" s="32"/>
      <c r="Z77" s="32"/>
      <c r="AA77" s="32"/>
      <c r="AB77" s="32"/>
      <c r="AC77" s="130"/>
      <c r="AD77" s="120"/>
      <c r="AE77" s="32"/>
      <c r="AF77" s="32"/>
      <c r="AG77" s="32"/>
      <c r="AH77" s="32"/>
      <c r="AI77" s="35">
        <v>15</v>
      </c>
      <c r="AJ77" s="36">
        <f t="shared" si="6"/>
        <v>3.7</v>
      </c>
      <c r="AN77" s="114"/>
    </row>
    <row r="78" ht="27.95" customHeight="1" spans="1:40" x14ac:dyDescent="0.25">
      <c r="A78" s="50" t="s">
        <v>74</v>
      </c>
      <c r="B78" s="51" t="s">
        <v>75</v>
      </c>
      <c r="C78" s="142"/>
      <c r="D78" s="142"/>
      <c r="E78" s="143"/>
      <c r="F78" s="53"/>
      <c r="G78" s="53"/>
      <c r="H78" s="52">
        <v>70</v>
      </c>
      <c r="I78" s="53"/>
      <c r="J78" s="23">
        <v>0</v>
      </c>
      <c r="K78" s="53"/>
      <c r="L78" s="45" t="s">
        <v>16</v>
      </c>
      <c r="M78" s="124">
        <f t="shared" ref="M78:M101" si="13">+J78-N78</f>
        <v>0</v>
      </c>
      <c r="N78" s="125">
        <f t="shared" si="8"/>
        <v>0</v>
      </c>
      <c r="O78" s="126"/>
      <c r="P78" s="127">
        <f t="shared" si="12"/>
        <v>0</v>
      </c>
      <c r="Q78" s="23">
        <f t="shared" si="5"/>
        <v>0</v>
      </c>
      <c r="R78" s="44"/>
      <c r="S78" s="44"/>
      <c r="T78" s="44"/>
      <c r="U78" s="119"/>
      <c r="V78" s="45"/>
      <c r="W78" s="44"/>
      <c r="X78" s="45"/>
      <c r="Y78" s="44"/>
      <c r="Z78" s="44"/>
      <c r="AA78" s="44"/>
      <c r="AB78" s="44"/>
      <c r="AC78" s="125"/>
      <c r="AD78" s="128"/>
      <c r="AE78" s="44"/>
      <c r="AF78" s="44"/>
      <c r="AG78" s="44"/>
      <c r="AH78" s="44"/>
      <c r="AI78" s="46">
        <v>0</v>
      </c>
      <c r="AJ78" s="47">
        <f t="shared" si="6"/>
        <v>0</v>
      </c>
      <c r="AN78" s="114"/>
    </row>
    <row r="79" ht="27.95" customHeight="1" spans="1:40" x14ac:dyDescent="0.25">
      <c r="A79" s="55" t="s">
        <v>76</v>
      </c>
      <c r="B79" s="56" t="s">
        <v>77</v>
      </c>
      <c r="C79" s="144"/>
      <c r="D79" s="144"/>
      <c r="E79" s="145"/>
      <c r="F79" s="58"/>
      <c r="G79" s="58"/>
      <c r="H79" s="57">
        <v>50</v>
      </c>
      <c r="I79" s="58"/>
      <c r="J79" s="33">
        <v>0</v>
      </c>
      <c r="K79" s="58"/>
      <c r="L79" s="34" t="s">
        <v>16</v>
      </c>
      <c r="M79" s="115">
        <f t="shared" si="13"/>
        <v>0</v>
      </c>
      <c r="N79" s="116">
        <f t="shared" si="8"/>
        <v>0</v>
      </c>
      <c r="O79" s="117"/>
      <c r="P79" s="118">
        <f t="shared" si="12"/>
        <v>0</v>
      </c>
      <c r="Q79" s="33">
        <f t="shared" si="5"/>
        <v>0</v>
      </c>
      <c r="R79" s="32"/>
      <c r="S79" s="32"/>
      <c r="T79" s="32"/>
      <c r="U79" s="150"/>
      <c r="V79" s="34"/>
      <c r="W79" s="32"/>
      <c r="X79" s="34"/>
      <c r="Y79" s="32"/>
      <c r="Z79" s="32"/>
      <c r="AA79" s="32"/>
      <c r="AB79" s="32"/>
      <c r="AC79" s="116"/>
      <c r="AD79" s="120"/>
      <c r="AE79" s="32"/>
      <c r="AF79" s="32"/>
      <c r="AG79" s="32"/>
      <c r="AH79" s="32"/>
      <c r="AI79" s="35">
        <v>1</v>
      </c>
      <c r="AJ79" s="36">
        <f t="shared" si="6"/>
        <v>0</v>
      </c>
      <c r="AN79" s="114"/>
    </row>
    <row r="80" ht="27.95" customHeight="1" spans="1:40" x14ac:dyDescent="0.25">
      <c r="A80" s="55" t="s">
        <v>78</v>
      </c>
      <c r="B80" s="56" t="s">
        <v>79</v>
      </c>
      <c r="C80" s="144"/>
      <c r="D80" s="144"/>
      <c r="E80" s="145"/>
      <c r="F80" s="58"/>
      <c r="G80" s="58"/>
      <c r="H80" s="57">
        <v>160</v>
      </c>
      <c r="I80" s="58"/>
      <c r="J80" s="33">
        <v>0</v>
      </c>
      <c r="K80" s="58"/>
      <c r="L80" s="34" t="s">
        <v>31</v>
      </c>
      <c r="M80" s="115">
        <f t="shared" si="13"/>
        <v>0</v>
      </c>
      <c r="N80" s="116">
        <f t="shared" si="8"/>
        <v>0</v>
      </c>
      <c r="O80" s="117"/>
      <c r="P80" s="118">
        <f t="shared" si="12"/>
        <v>0</v>
      </c>
      <c r="Q80" s="33">
        <f t="shared" si="5"/>
        <v>0</v>
      </c>
      <c r="R80" s="32"/>
      <c r="S80" s="32"/>
      <c r="T80" s="32"/>
      <c r="U80" s="119"/>
      <c r="V80" s="34"/>
      <c r="W80" s="32"/>
      <c r="X80" s="34"/>
      <c r="Y80" s="32"/>
      <c r="Z80" s="32"/>
      <c r="AA80" s="32"/>
      <c r="AB80" s="32"/>
      <c r="AC80" s="116"/>
      <c r="AD80" s="120"/>
      <c r="AE80" s="32"/>
      <c r="AF80" s="32"/>
      <c r="AG80" s="32"/>
      <c r="AH80" s="32"/>
      <c r="AI80" s="35">
        <v>1</v>
      </c>
      <c r="AJ80" s="36">
        <f t="shared" si="6"/>
        <v>0</v>
      </c>
      <c r="AN80" s="114"/>
    </row>
    <row r="81" ht="27.95" customHeight="1" spans="1:40" x14ac:dyDescent="0.25">
      <c r="A81" s="55" t="s">
        <v>80</v>
      </c>
      <c r="B81" s="56" t="s">
        <v>81</v>
      </c>
      <c r="C81" s="144"/>
      <c r="D81" s="144"/>
      <c r="E81" s="145"/>
      <c r="F81" s="58"/>
      <c r="G81" s="58"/>
      <c r="H81" s="57">
        <v>160</v>
      </c>
      <c r="I81" s="58"/>
      <c r="J81" s="33">
        <v>0</v>
      </c>
      <c r="K81" s="58"/>
      <c r="L81" s="34" t="s">
        <v>31</v>
      </c>
      <c r="M81" s="115">
        <f t="shared" si="13"/>
        <v>0</v>
      </c>
      <c r="N81" s="116">
        <f t="shared" si="8"/>
        <v>0</v>
      </c>
      <c r="O81" s="117"/>
      <c r="P81" s="118">
        <f t="shared" si="12"/>
        <v>0</v>
      </c>
      <c r="Q81" s="33">
        <f>+J81/H81</f>
        <v>0</v>
      </c>
      <c r="R81" s="32"/>
      <c r="S81" s="32"/>
      <c r="T81" s="32"/>
      <c r="U81" s="119"/>
      <c r="V81" s="34"/>
      <c r="W81" s="32"/>
      <c r="X81" s="34"/>
      <c r="Y81" s="32"/>
      <c r="Z81" s="32"/>
      <c r="AA81" s="32"/>
      <c r="AB81" s="32"/>
      <c r="AC81" s="116"/>
      <c r="AD81" s="120"/>
      <c r="AE81" s="32"/>
      <c r="AF81" s="32"/>
      <c r="AG81" s="32"/>
      <c r="AH81" s="32"/>
      <c r="AI81" s="35">
        <v>0</v>
      </c>
      <c r="AJ81" s="36">
        <f t="shared" si="6"/>
        <v>0</v>
      </c>
      <c r="AN81" s="114"/>
    </row>
    <row r="82" ht="27.95" customHeight="1" spans="1:40" x14ac:dyDescent="0.25">
      <c r="A82" s="59" t="s">
        <v>82</v>
      </c>
      <c r="B82" s="60" t="s">
        <v>83</v>
      </c>
      <c r="C82" s="151"/>
      <c r="D82" s="151"/>
      <c r="E82" s="61"/>
      <c r="F82" s="62"/>
      <c r="G82" s="62"/>
      <c r="H82" s="61">
        <v>84</v>
      </c>
      <c r="I82" s="62"/>
      <c r="J82" s="65">
        <v>50</v>
      </c>
      <c r="K82" s="62"/>
      <c r="L82" s="64" t="s">
        <v>16</v>
      </c>
      <c r="M82" s="115">
        <f t="shared" si="13"/>
        <v>50</v>
      </c>
      <c r="N82" s="116">
        <f t="shared" si="8"/>
        <v>0</v>
      </c>
      <c r="O82" s="117"/>
      <c r="P82" s="118">
        <f t="shared" si="12"/>
        <v>50</v>
      </c>
      <c r="Q82" s="33">
        <f t="shared" si="5"/>
        <v>0.5952380952380952</v>
      </c>
      <c r="R82" s="32"/>
      <c r="S82" s="32"/>
      <c r="T82" s="32"/>
      <c r="U82" s="119"/>
      <c r="V82" s="34"/>
      <c r="W82" s="32"/>
      <c r="X82" s="34"/>
      <c r="Y82" s="32"/>
      <c r="Z82" s="32"/>
      <c r="AA82" s="32"/>
      <c r="AB82" s="32"/>
      <c r="AC82" s="116"/>
      <c r="AD82" s="120"/>
      <c r="AE82" s="32"/>
      <c r="AF82" s="32"/>
      <c r="AG82" s="32"/>
      <c r="AH82" s="32"/>
      <c r="AI82" s="35">
        <v>0</v>
      </c>
      <c r="AJ82" s="36">
        <f t="shared" si="6"/>
        <v>0</v>
      </c>
      <c r="AN82" s="114"/>
    </row>
    <row r="83" ht="27.95" customHeight="1" spans="1:40" x14ac:dyDescent="0.25">
      <c r="A83" s="59" t="s">
        <v>84</v>
      </c>
      <c r="B83" s="60" t="s">
        <v>85</v>
      </c>
      <c r="C83" s="151"/>
      <c r="D83" s="151"/>
      <c r="E83" s="61"/>
      <c r="F83" s="62"/>
      <c r="G83" s="62"/>
      <c r="H83" s="61">
        <v>50</v>
      </c>
      <c r="I83" s="62"/>
      <c r="J83" s="65">
        <v>6584</v>
      </c>
      <c r="K83" s="62"/>
      <c r="L83" s="64" t="s">
        <v>16</v>
      </c>
      <c r="M83" s="115"/>
      <c r="N83" s="116"/>
      <c r="O83" s="117"/>
      <c r="P83" s="118"/>
      <c r="Q83" s="33">
        <f t="shared" si="5"/>
        <v>131.68</v>
      </c>
      <c r="R83" s="32"/>
      <c r="S83" s="32"/>
      <c r="T83" s="32"/>
      <c r="U83" s="119"/>
      <c r="V83" s="34"/>
      <c r="W83" s="32"/>
      <c r="X83" s="34"/>
      <c r="Y83" s="32"/>
      <c r="Z83" s="32"/>
      <c r="AA83" s="32"/>
      <c r="AB83" s="32"/>
      <c r="AC83" s="116"/>
      <c r="AD83" s="120"/>
      <c r="AE83" s="32"/>
      <c r="AF83" s="32"/>
      <c r="AG83" s="32"/>
      <c r="AH83" s="32"/>
      <c r="AI83" s="35">
        <v>14</v>
      </c>
      <c r="AJ83" s="36">
        <f t="shared" si="6"/>
        <v>9.4</v>
      </c>
      <c r="AN83" s="114"/>
    </row>
    <row r="84" ht="27.95" customHeight="1" spans="1:40" x14ac:dyDescent="0.25">
      <c r="A84" s="59" t="s">
        <v>86</v>
      </c>
      <c r="B84" s="60" t="s">
        <v>87</v>
      </c>
      <c r="C84" s="151"/>
      <c r="D84" s="151"/>
      <c r="E84" s="61"/>
      <c r="F84" s="62"/>
      <c r="G84" s="62"/>
      <c r="H84" s="61">
        <v>136</v>
      </c>
      <c r="I84" s="62"/>
      <c r="J84" s="65">
        <v>28203</v>
      </c>
      <c r="K84" s="62"/>
      <c r="L84" s="64" t="s">
        <v>16</v>
      </c>
      <c r="M84" s="115"/>
      <c r="N84" s="116"/>
      <c r="O84" s="117"/>
      <c r="P84" s="118"/>
      <c r="Q84" s="33">
        <f t="shared" si="5"/>
        <v>207.375</v>
      </c>
      <c r="R84" s="32"/>
      <c r="S84" s="32"/>
      <c r="T84" s="32"/>
      <c r="U84" s="119"/>
      <c r="V84" s="34"/>
      <c r="W84" s="32"/>
      <c r="X84" s="34"/>
      <c r="Y84" s="32"/>
      <c r="Z84" s="32"/>
      <c r="AA84" s="32"/>
      <c r="AB84" s="32"/>
      <c r="AC84" s="116"/>
      <c r="AD84" s="120"/>
      <c r="AE84" s="32"/>
      <c r="AF84" s="32"/>
      <c r="AG84" s="32"/>
      <c r="AH84" s="32"/>
      <c r="AI84" s="35">
        <v>27</v>
      </c>
      <c r="AJ84" s="36">
        <f t="shared" si="6"/>
        <v>7.7</v>
      </c>
      <c r="AN84" s="114"/>
    </row>
    <row r="85" ht="27.95" customHeight="1" hidden="1" spans="1:40" x14ac:dyDescent="0.25">
      <c r="A85" s="152" t="s">
        <v>209</v>
      </c>
      <c r="B85" s="153" t="s">
        <v>210</v>
      </c>
      <c r="C85" s="154"/>
      <c r="D85" s="154"/>
      <c r="E85" s="155"/>
      <c r="F85" s="156"/>
      <c r="G85" s="156"/>
      <c r="H85" s="155">
        <v>78</v>
      </c>
      <c r="I85" s="156"/>
      <c r="J85" s="54">
        <v>0</v>
      </c>
      <c r="K85" s="156"/>
      <c r="L85" s="157" t="s">
        <v>16</v>
      </c>
      <c r="M85" s="158"/>
      <c r="N85" s="159"/>
      <c r="O85" s="127"/>
      <c r="P85" s="127"/>
      <c r="Q85" s="54">
        <f t="shared" si="5"/>
        <v>0</v>
      </c>
      <c r="R85" s="44"/>
      <c r="S85" s="44"/>
      <c r="T85" s="44"/>
      <c r="U85" s="119"/>
      <c r="V85" s="45"/>
      <c r="W85" s="44"/>
      <c r="X85" s="45"/>
      <c r="Y85" s="44"/>
      <c r="Z85" s="44"/>
      <c r="AA85" s="44"/>
      <c r="AB85" s="44"/>
      <c r="AC85" s="125"/>
      <c r="AD85" s="128"/>
      <c r="AE85" s="44"/>
      <c r="AF85" s="44"/>
      <c r="AG85" s="44"/>
      <c r="AH85" s="44"/>
      <c r="AI85" s="46">
        <v>0</v>
      </c>
      <c r="AJ85" s="47">
        <f t="shared" si="6"/>
        <v>0</v>
      </c>
      <c r="AN85" s="114"/>
    </row>
    <row r="86" ht="27.95" customHeight="1" hidden="1" spans="1:40" x14ac:dyDescent="0.25">
      <c r="A86" s="66" t="s">
        <v>211</v>
      </c>
      <c r="B86" s="67" t="s">
        <v>212</v>
      </c>
      <c r="C86" s="160"/>
      <c r="D86" s="160"/>
      <c r="E86" s="68"/>
      <c r="F86" s="69"/>
      <c r="G86" s="69"/>
      <c r="H86" s="68">
        <v>78</v>
      </c>
      <c r="I86" s="69"/>
      <c r="J86" s="48">
        <v>0</v>
      </c>
      <c r="K86" s="69"/>
      <c r="L86" s="70" t="s">
        <v>16</v>
      </c>
      <c r="M86" s="161"/>
      <c r="N86" s="162"/>
      <c r="O86" s="118"/>
      <c r="P86" s="118"/>
      <c r="Q86" s="48">
        <f t="shared" si="5"/>
        <v>0</v>
      </c>
      <c r="R86" s="32"/>
      <c r="S86" s="32"/>
      <c r="T86" s="32"/>
      <c r="U86" s="119"/>
      <c r="V86" s="34"/>
      <c r="W86" s="32"/>
      <c r="X86" s="34"/>
      <c r="Y86" s="32"/>
      <c r="Z86" s="32"/>
      <c r="AA86" s="32"/>
      <c r="AB86" s="32"/>
      <c r="AC86" s="116"/>
      <c r="AD86" s="120"/>
      <c r="AE86" s="32"/>
      <c r="AF86" s="32"/>
      <c r="AG86" s="32"/>
      <c r="AH86" s="32"/>
      <c r="AI86" s="35">
        <v>0</v>
      </c>
      <c r="AJ86" s="36">
        <f t="shared" si="6"/>
        <v>0</v>
      </c>
      <c r="AN86" s="114"/>
    </row>
    <row r="87" ht="27.95" customHeight="1" hidden="1" spans="1:40" x14ac:dyDescent="0.25">
      <c r="A87" s="66" t="s">
        <v>213</v>
      </c>
      <c r="B87" s="67" t="s">
        <v>214</v>
      </c>
      <c r="C87" s="160"/>
      <c r="D87" s="160"/>
      <c r="E87" s="68"/>
      <c r="F87" s="69"/>
      <c r="G87" s="69"/>
      <c r="H87" s="68">
        <v>78</v>
      </c>
      <c r="I87" s="69"/>
      <c r="J87" s="48">
        <v>0</v>
      </c>
      <c r="K87" s="69"/>
      <c r="L87" s="70" t="s">
        <v>16</v>
      </c>
      <c r="M87" s="161"/>
      <c r="N87" s="162"/>
      <c r="O87" s="118"/>
      <c r="P87" s="118"/>
      <c r="Q87" s="48">
        <f t="shared" si="5"/>
        <v>0</v>
      </c>
      <c r="R87" s="32"/>
      <c r="S87" s="32"/>
      <c r="T87" s="32"/>
      <c r="U87" s="119"/>
      <c r="V87" s="34"/>
      <c r="W87" s="32"/>
      <c r="X87" s="34"/>
      <c r="Y87" s="32"/>
      <c r="Z87" s="32"/>
      <c r="AA87" s="32"/>
      <c r="AB87" s="32"/>
      <c r="AC87" s="116"/>
      <c r="AD87" s="120"/>
      <c r="AE87" s="32"/>
      <c r="AF87" s="32"/>
      <c r="AG87" s="32"/>
      <c r="AH87" s="32"/>
      <c r="AI87" s="35">
        <v>0</v>
      </c>
      <c r="AJ87" s="36">
        <f t="shared" si="6"/>
        <v>0</v>
      </c>
      <c r="AN87" s="114"/>
    </row>
    <row r="88" ht="27.95" customHeight="1" spans="1:40" x14ac:dyDescent="0.25">
      <c r="A88" s="66" t="s">
        <v>88</v>
      </c>
      <c r="B88" s="67" t="s">
        <v>89</v>
      </c>
      <c r="C88" s="160"/>
      <c r="D88" s="160"/>
      <c r="E88" s="68"/>
      <c r="F88" s="69"/>
      <c r="G88" s="69"/>
      <c r="H88" s="68">
        <v>160</v>
      </c>
      <c r="I88" s="69"/>
      <c r="J88" s="33">
        <v>8723</v>
      </c>
      <c r="K88" s="69"/>
      <c r="L88" s="70" t="s">
        <v>16</v>
      </c>
      <c r="M88" s="161"/>
      <c r="N88" s="162"/>
      <c r="O88" s="118"/>
      <c r="P88" s="118"/>
      <c r="Q88" s="48">
        <f t="shared" si="5"/>
        <v>54.51875</v>
      </c>
      <c r="R88" s="32"/>
      <c r="S88" s="32"/>
      <c r="T88" s="32"/>
      <c r="U88" s="119"/>
      <c r="V88" s="34"/>
      <c r="W88" s="32"/>
      <c r="X88" s="34"/>
      <c r="Y88" s="32"/>
      <c r="Z88" s="32"/>
      <c r="AA88" s="32"/>
      <c r="AB88" s="32"/>
      <c r="AC88" s="116"/>
      <c r="AD88" s="120"/>
      <c r="AE88" s="32"/>
      <c r="AF88" s="32"/>
      <c r="AG88" s="32"/>
      <c r="AH88" s="32"/>
      <c r="AI88" s="35">
        <v>2</v>
      </c>
      <c r="AJ88" s="36">
        <f t="shared" si="6"/>
        <v>27.3</v>
      </c>
      <c r="AN88" s="114"/>
    </row>
    <row r="89" ht="27.95" customHeight="1" spans="1:40" x14ac:dyDescent="0.25">
      <c r="A89" s="66" t="s">
        <v>90</v>
      </c>
      <c r="B89" s="67" t="s">
        <v>91</v>
      </c>
      <c r="C89" s="160"/>
      <c r="D89" s="160"/>
      <c r="E89" s="68"/>
      <c r="F89" s="69"/>
      <c r="G89" s="69"/>
      <c r="H89" s="68">
        <v>160</v>
      </c>
      <c r="I89" s="69"/>
      <c r="J89" s="48">
        <v>2774</v>
      </c>
      <c r="K89" s="69"/>
      <c r="L89" s="70" t="s">
        <v>16</v>
      </c>
      <c r="M89" s="161"/>
      <c r="N89" s="162"/>
      <c r="O89" s="118"/>
      <c r="P89" s="118"/>
      <c r="Q89" s="48">
        <f>+J89/H89</f>
        <v>17.3375</v>
      </c>
      <c r="R89" s="32"/>
      <c r="S89" s="32"/>
      <c r="T89" s="32"/>
      <c r="U89" s="119"/>
      <c r="V89" s="34"/>
      <c r="W89" s="32"/>
      <c r="X89" s="34"/>
      <c r="Y89" s="32"/>
      <c r="Z89" s="32"/>
      <c r="AA89" s="32"/>
      <c r="AB89" s="32"/>
      <c r="AC89" s="116"/>
      <c r="AD89" s="120"/>
      <c r="AE89" s="32"/>
      <c r="AF89" s="32"/>
      <c r="AG89" s="32"/>
      <c r="AH89" s="32"/>
      <c r="AI89" s="35">
        <v>0</v>
      </c>
      <c r="AJ89" s="36">
        <f t="shared" si="6"/>
        <v>0</v>
      </c>
      <c r="AN89" s="114"/>
    </row>
    <row r="90" ht="27.95" customHeight="1" spans="1:40" x14ac:dyDescent="0.25">
      <c r="A90" s="71" t="s">
        <v>92</v>
      </c>
      <c r="B90" s="72" t="s">
        <v>93</v>
      </c>
      <c r="C90" s="163"/>
      <c r="D90" s="163"/>
      <c r="E90" s="73"/>
      <c r="F90" s="74"/>
      <c r="G90" s="74"/>
      <c r="H90" s="73">
        <v>160</v>
      </c>
      <c r="I90" s="74"/>
      <c r="J90" s="75">
        <v>0</v>
      </c>
      <c r="K90" s="74"/>
      <c r="L90" s="76" t="s">
        <v>16</v>
      </c>
      <c r="M90" s="164"/>
      <c r="N90" s="165"/>
      <c r="O90" s="166"/>
      <c r="P90" s="166"/>
      <c r="Q90" s="77">
        <f>+J90/H90</f>
        <v>0</v>
      </c>
      <c r="R90" s="167"/>
      <c r="S90" s="167"/>
      <c r="T90" s="167"/>
      <c r="U90" s="168"/>
      <c r="V90" s="169"/>
      <c r="W90" s="167"/>
      <c r="X90" s="169"/>
      <c r="Y90" s="167"/>
      <c r="Z90" s="167"/>
      <c r="AA90" s="167"/>
      <c r="AB90" s="167"/>
      <c r="AC90" s="170"/>
      <c r="AD90" s="171"/>
      <c r="AE90" s="167"/>
      <c r="AF90" s="167"/>
      <c r="AG90" s="167"/>
      <c r="AH90" s="167"/>
      <c r="AI90" s="78">
        <v>0</v>
      </c>
      <c r="AJ90" s="79">
        <f>IFERROR(ROUND((+Q90/AI90),1),0)</f>
        <v>0</v>
      </c>
      <c r="AN90" s="114"/>
    </row>
    <row r="91" ht="18.75" customHeight="1" hidden="1" spans="1:36" x14ac:dyDescent="0.25">
      <c r="A91" s="172" t="s">
        <v>215</v>
      </c>
      <c r="B91" s="172" t="s">
        <v>216</v>
      </c>
      <c r="C91" s="172"/>
      <c r="D91" s="172"/>
      <c r="E91" s="172"/>
      <c r="F91" s="172"/>
      <c r="G91" s="172"/>
      <c r="H91" s="172">
        <v>70</v>
      </c>
      <c r="I91" s="172"/>
      <c r="J91" s="173">
        <v>0</v>
      </c>
      <c r="K91" s="173"/>
      <c r="L91" s="173" t="s">
        <v>16</v>
      </c>
      <c r="M91" s="105"/>
      <c r="N91" s="28"/>
      <c r="P91" s="106"/>
      <c r="Q91" s="173"/>
      <c r="U91" s="82"/>
      <c r="AC91" s="28"/>
      <c r="AG91" s="28"/>
      <c r="AH91" s="28"/>
      <c r="AI91" s="28"/>
      <c r="AJ91" s="28"/>
    </row>
    <row r="92" ht="18.75" customHeight="1" hidden="1" spans="1:36" x14ac:dyDescent="0.25">
      <c r="A92" s="172" t="s">
        <v>217</v>
      </c>
      <c r="B92" s="172" t="s">
        <v>218</v>
      </c>
      <c r="C92" s="172"/>
      <c r="D92" s="172"/>
      <c r="E92" s="172"/>
      <c r="F92" s="172"/>
      <c r="G92" s="172"/>
      <c r="H92" s="172">
        <v>70</v>
      </c>
      <c r="I92" s="172"/>
      <c r="J92" s="173">
        <v>0</v>
      </c>
      <c r="K92" s="173"/>
      <c r="L92" s="173" t="s">
        <v>16</v>
      </c>
      <c r="M92" s="105">
        <f>+J92-N92</f>
        <v>0</v>
      </c>
      <c r="N92" s="173">
        <f>+IFERROR(VLOOKUP(A92,$R$26:$U$119,4,FALSE),0)-0</f>
        <v>0</v>
      </c>
      <c r="P92" s="174">
        <f>J92-IFERROR(VLOOKUP(A92,$R$26:$U$119,4,FALSE),0)+0</f>
        <v>0</v>
      </c>
      <c r="Q92" s="173"/>
      <c r="U92" s="82"/>
      <c r="AC92" s="175"/>
      <c r="AG92" s="28"/>
      <c r="AH92" s="28"/>
      <c r="AI92" s="28"/>
      <c r="AJ92" s="28"/>
    </row>
    <row r="93" ht="3.95" customHeight="1" spans="1:29" x14ac:dyDescent="0.25">
      <c r="A93" s="80"/>
      <c r="B93" s="80"/>
      <c r="C93" s="80"/>
      <c r="D93" s="80"/>
      <c r="J93" s="28"/>
      <c r="K93" s="28"/>
      <c r="L93" s="28"/>
      <c r="M93" s="105"/>
      <c r="N93" s="28"/>
      <c r="P93" s="106"/>
      <c r="Q93" s="81"/>
      <c r="U93" s="82"/>
      <c r="AC93" s="175"/>
    </row>
    <row r="94" ht="26.25" customHeight="1" spans="1:29" x14ac:dyDescent="0.25">
      <c r="A94" s="82"/>
      <c r="B94" s="82"/>
      <c r="C94" s="82"/>
      <c r="D94" s="82"/>
      <c r="E94" s="82"/>
      <c r="F94" s="82"/>
      <c r="G94" s="82"/>
      <c r="H94" s="82"/>
      <c r="I94" s="82"/>
      <c r="J94" s="83">
        <f>SUM(J24:J93)</f>
        <v>388009</v>
      </c>
      <c r="K94" s="82"/>
      <c r="L94" s="82"/>
      <c r="M94" s="176">
        <f>SUM(M14:M93)</f>
        <v>81856</v>
      </c>
      <c r="N94" s="82"/>
      <c r="O94" s="177">
        <f>SUM(O14:O93)</f>
        <v>722111</v>
      </c>
      <c r="P94" s="178">
        <f>SUM(P14:P93)</f>
        <v>179828</v>
      </c>
      <c r="Q94" s="84">
        <f>SUM(Q24:Q93)</f>
        <v>4613.475366300366</v>
      </c>
      <c r="R94" s="103"/>
      <c r="U94" s="179"/>
      <c r="AB94" s="103"/>
      <c r="AC94" s="175"/>
    </row>
    <row r="95" ht="15" customHeight="1" spans="1:29" x14ac:dyDescent="0.25">
      <c r="A95" s="80"/>
      <c r="B95" s="80"/>
      <c r="C95" s="80"/>
      <c r="D95" s="80"/>
      <c r="J95" s="28"/>
      <c r="K95" s="28"/>
      <c r="L95" s="28"/>
      <c r="M95" s="105"/>
      <c r="N95" s="28"/>
      <c r="P95" s="107"/>
      <c r="Q95" s="81"/>
      <c r="R95" s="103"/>
      <c r="U95" s="179"/>
      <c r="AB95" s="103"/>
      <c r="AC95" s="28"/>
    </row>
    <row r="96" ht="21" customHeight="1" spans="1:29" x14ac:dyDescent="0.25">
      <c r="A96" s="80"/>
      <c r="B96" s="80"/>
      <c r="C96" s="80"/>
      <c r="D96" s="80"/>
      <c r="J96" s="28"/>
      <c r="K96" s="28"/>
      <c r="L96" s="28"/>
      <c r="M96" s="105"/>
      <c r="N96" s="28"/>
      <c r="P96" s="107"/>
      <c r="Q96" s="81"/>
      <c r="U96" s="82"/>
      <c r="AC96" s="28"/>
    </row>
    <row r="97" ht="21" customHeight="1" spans="10:40" x14ac:dyDescent="0.25">
      <c r="J97" s="28"/>
      <c r="K97" s="28"/>
      <c r="L97" s="28"/>
      <c r="M97" s="105"/>
      <c r="N97" s="28"/>
      <c r="P97" s="106"/>
      <c r="Q97" s="81"/>
      <c r="U97" s="82"/>
      <c r="AC97" s="28"/>
      <c r="AN97" s="28"/>
    </row>
    <row r="98" ht="21" customHeight="1" spans="10:29" x14ac:dyDescent="0.25">
      <c r="J98" s="28"/>
      <c r="K98" s="28"/>
      <c r="L98" s="28"/>
      <c r="M98" s="105"/>
      <c r="N98" s="28"/>
      <c r="P98" s="107"/>
      <c r="Q98" s="81"/>
      <c r="U98" s="82"/>
      <c r="AC98" s="28"/>
    </row>
    <row r="99" ht="21" customHeight="1" spans="1:29" x14ac:dyDescent="0.25">
      <c r="J99" s="28"/>
      <c r="K99" s="28"/>
      <c r="L99" s="28"/>
      <c r="M99" s="105"/>
      <c r="N99" s="28"/>
      <c r="P99" s="106"/>
      <c r="Q99" s="81"/>
      <c r="U99" s="82"/>
      <c r="AC99" s="28">
        <f t="shared" ref="AC99:AC105" si="14">+IFERROR(VLOOKUP(T99,$R$26:$U$119,4,FALSE),0)</f>
        <v>0</v>
      </c>
    </row>
    <row r="100" ht="21" customHeight="1" spans="1:29" x14ac:dyDescent="0.25">
      <c r="J100" s="28"/>
      <c r="K100" s="28"/>
      <c r="L100" s="28"/>
      <c r="M100" s="105"/>
      <c r="N100" s="28"/>
      <c r="P100" s="107"/>
      <c r="Q100" s="81"/>
      <c r="U100" s="82"/>
      <c r="AC100" s="173">
        <f t="shared" si="14"/>
        <v>0</v>
      </c>
    </row>
    <row r="101" ht="21" customHeight="1" spans="1:29" x14ac:dyDescent="0.25">
      <c r="J101" s="28"/>
      <c r="K101" s="28"/>
      <c r="L101" s="28"/>
      <c r="M101" s="105">
        <f>+J101-N101</f>
        <v>0</v>
      </c>
      <c r="N101" s="173">
        <f>+IFERROR(VLOOKUP(A101,$R$26:$U$119,4,FALSE),0)-0</f>
        <v>0</v>
      </c>
      <c r="P101" s="174">
        <f>J101-IFERROR(VLOOKUP(A101,$R$26:$U$119,4,FALSE),0)+0</f>
        <v>0</v>
      </c>
      <c r="Q101" s="81"/>
      <c r="R101" s="103"/>
      <c r="U101" s="179"/>
      <c r="AB101" s="103"/>
      <c r="AC101" s="173">
        <f t="shared" si="14"/>
        <v>0</v>
      </c>
    </row>
    <row r="102" ht="21" customHeight="1" spans="1:29" x14ac:dyDescent="0.25">
      <c r="J102" s="28"/>
      <c r="K102" s="28"/>
      <c r="L102" s="28"/>
      <c r="M102" s="105"/>
      <c r="N102" s="28"/>
      <c r="P102" s="107"/>
      <c r="Q102" s="81"/>
      <c r="U102" s="82"/>
      <c r="AB102" s="103"/>
      <c r="AC102" s="28">
        <f t="shared" si="14"/>
        <v>0</v>
      </c>
    </row>
    <row r="103" ht="21" customHeight="1" spans="1:29" x14ac:dyDescent="0.25">
      <c r="J103" s="28"/>
      <c r="K103" s="28"/>
      <c r="L103" s="28"/>
      <c r="M103" s="105"/>
      <c r="N103" s="28"/>
      <c r="P103" s="107"/>
      <c r="Q103" s="81"/>
      <c r="R103" s="103"/>
      <c r="U103" s="179"/>
      <c r="AB103" s="103"/>
      <c r="AC103" s="28">
        <f t="shared" si="14"/>
        <v>0</v>
      </c>
    </row>
    <row r="104" ht="21" customHeight="1" spans="1:29" x14ac:dyDescent="0.25">
      <c r="J104" s="28"/>
      <c r="K104" s="28"/>
      <c r="L104" s="28"/>
      <c r="M104" s="105"/>
      <c r="N104" s="28"/>
      <c r="P104" s="107"/>
      <c r="Q104" s="81"/>
      <c r="R104" s="103"/>
      <c r="U104" s="179"/>
      <c r="AB104" s="103"/>
      <c r="AC104" s="28">
        <f t="shared" si="14"/>
        <v>0</v>
      </c>
    </row>
    <row r="105" ht="21" customHeight="1" spans="1:29" x14ac:dyDescent="0.25">
      <c r="J105" s="28"/>
      <c r="K105" s="28"/>
      <c r="L105" s="28"/>
      <c r="M105" s="105"/>
      <c r="N105" s="28"/>
      <c r="P105" s="107"/>
      <c r="Q105" s="81"/>
      <c r="R105" s="103"/>
      <c r="U105" s="179"/>
      <c r="AB105" s="103"/>
      <c r="AC105" s="28">
        <f t="shared" si="14"/>
        <v>0</v>
      </c>
    </row>
    <row r="106" ht="21" customHeight="1" spans="1:29" x14ac:dyDescent="0.25">
      <c r="J106" s="85"/>
      <c r="K106" s="28"/>
      <c r="L106" s="28"/>
      <c r="M106" s="105"/>
      <c r="N106" s="85"/>
      <c r="O106" s="180"/>
      <c r="P106" s="106"/>
      <c r="Q106" s="81"/>
      <c r="R106" s="103"/>
      <c r="S106" s="28"/>
      <c r="U106" s="179"/>
      <c r="AB106" s="103"/>
      <c r="AC106" s="85">
        <f>+IFERROR(VLOOKUP(T106,$R$26:$U$119,4,FALSE),0)-0-1920-640-320</f>
        <v>-2880</v>
      </c>
    </row>
    <row r="107" ht="21" customHeight="1" spans="1:29" x14ac:dyDescent="0.25">
      <c r="J107" s="28"/>
      <c r="K107" s="28"/>
      <c r="L107" s="28"/>
      <c r="M107" s="105"/>
      <c r="N107" s="28"/>
      <c r="P107" s="107"/>
      <c r="Q107" s="81"/>
      <c r="R107" s="103"/>
      <c r="U107" s="179"/>
      <c r="AB107" s="103"/>
      <c r="AC107" s="28">
        <f>+IFERROR(VLOOKUP(T107,$R$26:$U$119,4,FALSE),0)</f>
        <v>0</v>
      </c>
    </row>
    <row r="108" ht="21" customHeight="1" spans="1:29" x14ac:dyDescent="0.25">
      <c r="J108" s="85"/>
      <c r="K108" s="28"/>
      <c r="L108" s="28"/>
      <c r="M108" s="105"/>
      <c r="N108" s="85"/>
      <c r="O108" s="180"/>
      <c r="P108" s="106"/>
      <c r="Q108" s="81"/>
      <c r="R108" s="181"/>
      <c r="S108" s="182"/>
      <c r="U108" s="179"/>
      <c r="AB108" s="103"/>
      <c r="AC108" s="85">
        <f>+IFERROR(VLOOKUP(T108,$R$26:$U$119,4,FALSE),0)-0-2964-3588-2730-5226-1716-1716-2340-3354</f>
        <v>-23634</v>
      </c>
    </row>
    <row r="109" ht="21" customHeight="1" spans="1:29" x14ac:dyDescent="0.25">
      <c r="J109" s="28"/>
      <c r="K109" s="28"/>
      <c r="L109" s="28"/>
      <c r="M109" s="105"/>
      <c r="N109" s="28"/>
      <c r="P109" s="107"/>
      <c r="Q109" s="81"/>
      <c r="R109" s="103"/>
      <c r="S109" s="182"/>
      <c r="U109" s="179"/>
      <c r="AB109" s="103"/>
      <c r="AC109" s="28">
        <f>+IFERROR(VLOOKUP(T109,$R$26:$U$119,4,FALSE),0)</f>
        <v>0</v>
      </c>
    </row>
    <row r="110" ht="21" customHeight="1" spans="1:29" x14ac:dyDescent="0.25">
      <c r="J110" s="85"/>
      <c r="K110" s="28"/>
      <c r="L110" s="28"/>
      <c r="M110" s="105"/>
      <c r="N110" s="85"/>
      <c r="O110" s="180"/>
      <c r="P110" s="106"/>
      <c r="Q110" s="81"/>
      <c r="R110" s="103"/>
      <c r="U110" s="179"/>
      <c r="AB110" s="103"/>
      <c r="AC110" s="85">
        <f>+IFERROR(VLOOKUP(T110,$R$26:$U$119,4,FALSE),0)-0-1950-1482-702</f>
        <v>-4134</v>
      </c>
    </row>
    <row r="111" ht="21" customHeight="1" spans="1:29" x14ac:dyDescent="0.25">
      <c r="J111" s="28"/>
      <c r="K111" s="28"/>
      <c r="L111" s="28"/>
      <c r="M111" s="105"/>
      <c r="N111" s="28"/>
      <c r="P111" s="107"/>
      <c r="Q111" s="81"/>
      <c r="R111" s="103"/>
      <c r="U111" s="179"/>
      <c r="AB111" s="103"/>
      <c r="AC111" s="28">
        <f>+IFERROR(VLOOKUP(T111,$R$26:$U$119,4,FALSE),0)</f>
        <v>0</v>
      </c>
    </row>
    <row r="112" ht="21" customHeight="1" spans="1:29" x14ac:dyDescent="0.25">
      <c r="J112" s="85"/>
      <c r="K112" s="28"/>
      <c r="L112" s="28"/>
      <c r="M112" s="105"/>
      <c r="N112" s="85"/>
      <c r="O112" s="106"/>
      <c r="P112" s="106"/>
      <c r="Q112" s="81"/>
      <c r="R112" s="103"/>
      <c r="U112" s="82"/>
      <c r="AB112" s="103"/>
      <c r="AC112" s="85">
        <f>+IFERROR(VLOOKUP(T112,$R$26:$U$119,4,FALSE),0)</f>
        <v>0</v>
      </c>
    </row>
    <row r="113" ht="21" customHeight="1" spans="1:29" x14ac:dyDescent="0.25">
      <c r="J113" s="85"/>
      <c r="K113" s="28"/>
      <c r="L113" s="28"/>
      <c r="M113" s="105"/>
      <c r="N113" s="85"/>
      <c r="O113" s="180"/>
      <c r="P113" s="106"/>
      <c r="Q113" s="81"/>
      <c r="S113" s="28"/>
      <c r="U113" s="82"/>
      <c r="AC113" s="85">
        <f>+IFERROR(VLOOKUP(T113,$R$26:$U$119,4,FALSE),0)-0-624-3900-624</f>
        <v>-5148</v>
      </c>
    </row>
    <row r="114" ht="21" customHeight="1" spans="1:29" x14ac:dyDescent="0.25">
      <c r="J114" s="85"/>
      <c r="M114" s="105"/>
      <c r="N114" s="104"/>
      <c r="P114" s="107"/>
      <c r="Q114" s="81"/>
      <c r="U114" s="82"/>
      <c r="AC114" s="104">
        <f>+IFERROR(VLOOKUP(T114,$R$26:$U$119,4,FALSE),0)</f>
        <v>0</v>
      </c>
    </row>
    <row r="115" ht="21" customHeight="1" spans="1:29" x14ac:dyDescent="0.25">
      <c r="J115" s="85"/>
      <c r="M115" s="105"/>
      <c r="N115" s="85"/>
      <c r="O115" s="180"/>
      <c r="P115" s="106"/>
      <c r="Q115" s="81"/>
      <c r="S115" s="28"/>
      <c r="U115" s="82"/>
      <c r="AC115" s="85">
        <f>+IFERROR(VLOOKUP(T115,$R$26:$U$119,4,FALSE),0)-0</f>
        <v>0</v>
      </c>
    </row>
    <row r="116" ht="21" customHeight="1" spans="1:29" x14ac:dyDescent="0.25">
      <c r="J116" s="85"/>
      <c r="M116" s="105"/>
      <c r="N116" s="85"/>
      <c r="O116" s="180"/>
      <c r="P116" s="106"/>
      <c r="Q116" s="81"/>
      <c r="R116" s="28"/>
      <c r="U116" s="82"/>
      <c r="AC116" s="85">
        <f>+IFERROR(VLOOKUP(T116,$R$26:$U$119,4,FALSE),0)-0-960-4000-1920-1600-4480</f>
        <v>-12960</v>
      </c>
    </row>
    <row r="117" ht="21" customHeight="1" spans="1:29" x14ac:dyDescent="0.25">
      <c r="J117" s="85"/>
      <c r="M117" s="105"/>
      <c r="N117" s="85"/>
      <c r="O117" s="180"/>
      <c r="P117" s="106"/>
      <c r="Q117" s="81"/>
      <c r="R117" s="183"/>
      <c r="U117" s="82"/>
      <c r="AC117" s="85">
        <f>+IFERROR(VLOOKUP(T117,$R$26:$U$119,4,FALSE),0)-0</f>
        <v>0</v>
      </c>
    </row>
    <row r="118" ht="21" customHeight="1" spans="1:29" x14ac:dyDescent="0.25">
      <c r="J118" s="85"/>
      <c r="M118" s="105"/>
      <c r="N118" s="85"/>
      <c r="O118" s="180"/>
      <c r="P118" s="106"/>
      <c r="Q118" s="81"/>
      <c r="U118" s="82"/>
      <c r="AC118" s="85">
        <f>+IFERROR(VLOOKUP(T118,$R$26:$U$119,4,FALSE),0)-0</f>
        <v>0</v>
      </c>
    </row>
    <row r="119" ht="21" customHeight="1" spans="1:29" x14ac:dyDescent="0.25">
      <c r="J119" s="85"/>
      <c r="M119" s="105"/>
      <c r="N119" s="85"/>
      <c r="O119" s="180"/>
      <c r="P119" s="107"/>
      <c r="Q119" s="81"/>
      <c r="U119" s="82"/>
      <c r="AC119" s="85">
        <f>+IFERROR(VLOOKUP(T119,$R$26:$U$119,4,FALSE),0)-0</f>
        <v>0</v>
      </c>
    </row>
    <row r="120" spans="15:23" x14ac:dyDescent="0.25">
      <c r="O120" s="28"/>
      <c r="V120" s="103"/>
      <c r="W120" s="103"/>
    </row>
    <row r="121" spans="10:15" x14ac:dyDescent="0.25">
      <c r="J121" s="28"/>
      <c r="O121" s="184"/>
    </row>
    <row r="122" spans="15:15" x14ac:dyDescent="0.25">
      <c r="O122" s="28"/>
    </row>
    <row r="123" spans="7:15" x14ac:dyDescent="0.25">
      <c r="G123" s="89"/>
      <c r="O123" s="28"/>
    </row>
    <row r="124" spans="1:33" x14ac:dyDescent="0.25">
      <c r="G124" s="89"/>
      <c r="L124" s="86"/>
      <c r="M124" s="86"/>
      <c r="S124" t="s">
        <v>219</v>
      </c>
      <c r="T124" t="s">
        <v>220</v>
      </c>
      <c r="U124" t="s">
        <v>221</v>
      </c>
      <c r="V124" t="s">
        <v>222</v>
      </c>
      <c r="W124" s="103" t="s">
        <v>223</v>
      </c>
      <c r="X124" t="s">
        <v>224</v>
      </c>
      <c r="Y124" t="s">
        <v>225</v>
      </c>
      <c r="Z124" t="s">
        <v>226</v>
      </c>
      <c r="AA124" t="s">
        <v>227</v>
      </c>
      <c r="AB124" t="s">
        <v>228</v>
      </c>
      <c r="AD124" t="s">
        <v>229</v>
      </c>
      <c r="AE124" t="s">
        <v>230</v>
      </c>
      <c r="AF124" t="s">
        <v>231</v>
      </c>
      <c r="AG124" t="s">
        <v>232</v>
      </c>
    </row>
    <row r="125" spans="1:33" x14ac:dyDescent="0.25">
      <c r="G125" s="28"/>
      <c r="S125" t="s">
        <v>233</v>
      </c>
      <c r="T125">
        <v>3</v>
      </c>
      <c r="AC125" s="103"/>
      <c r="AD125" s="103">
        <v>9055845.7</v>
      </c>
      <c r="AG125" s="103">
        <v>6747879.83</v>
      </c>
    </row>
    <row r="126" spans="1:33" x14ac:dyDescent="0.25">
      <c r="S126" t="s">
        <v>14</v>
      </c>
      <c r="T126" t="s">
        <v>128</v>
      </c>
      <c r="U126" t="s">
        <v>129</v>
      </c>
      <c r="V126" s="28">
        <v>81698</v>
      </c>
      <c r="W126" s="28">
        <v>230713</v>
      </c>
      <c r="Y126" s="28">
        <v>-149015</v>
      </c>
      <c r="Z126" t="s">
        <v>130</v>
      </c>
      <c r="AA126" t="s">
        <v>234</v>
      </c>
      <c r="AC126" s="103"/>
      <c r="AD126" s="103">
        <v>101090.6</v>
      </c>
      <c r="AG126" s="103">
        <v>16226.93</v>
      </c>
    </row>
    <row r="127" spans="1:33" x14ac:dyDescent="0.25">
      <c r="S127" t="s">
        <v>17</v>
      </c>
      <c r="T127" t="s">
        <v>133</v>
      </c>
      <c r="U127" t="s">
        <v>129</v>
      </c>
      <c r="V127">
        <v>773</v>
      </c>
      <c r="W127" s="28">
        <v>23280</v>
      </c>
      <c r="Y127" s="28">
        <v>-22507</v>
      </c>
      <c r="Z127" t="s">
        <v>130</v>
      </c>
      <c r="AA127" t="s">
        <v>235</v>
      </c>
      <c r="AB127" s="103"/>
      <c r="AC127" s="103"/>
      <c r="AD127" s="103">
        <v>1677923.66</v>
      </c>
      <c r="AF127" s="103"/>
      <c r="AG127" s="103">
        <v>277446.81</v>
      </c>
    </row>
    <row r="128" spans="1:33" x14ac:dyDescent="0.25">
      <c r="S128" t="s">
        <v>19</v>
      </c>
      <c r="T128" t="s">
        <v>135</v>
      </c>
      <c r="U128" t="s">
        <v>129</v>
      </c>
      <c r="V128" s="103">
        <v>12485</v>
      </c>
      <c r="W128" s="103">
        <v>72670</v>
      </c>
      <c r="Y128" s="28">
        <v>-60185</v>
      </c>
      <c r="Z128" t="s">
        <v>130</v>
      </c>
      <c r="AA128" t="s">
        <v>236</v>
      </c>
      <c r="AB128" s="103"/>
      <c r="AC128" s="103"/>
      <c r="AD128" s="103">
        <v>1546022.13</v>
      </c>
      <c r="AF128" s="103"/>
      <c r="AG128" s="103">
        <v>134143.75</v>
      </c>
    </row>
    <row r="129" spans="1:33" x14ac:dyDescent="0.25">
      <c r="S129" t="s">
        <v>21</v>
      </c>
      <c r="T129" t="s">
        <v>137</v>
      </c>
      <c r="U129" t="s">
        <v>129</v>
      </c>
      <c r="V129" s="28">
        <v>442</v>
      </c>
      <c r="W129" s="103">
        <v>16820</v>
      </c>
      <c r="Y129" s="28">
        <v>-16378</v>
      </c>
      <c r="Z129" t="s">
        <v>130</v>
      </c>
      <c r="AA129" t="s">
        <v>237</v>
      </c>
      <c r="AB129" s="103"/>
      <c r="AC129" s="103"/>
      <c r="AD129" s="103">
        <v>99774.52</v>
      </c>
      <c r="AF129" s="103"/>
      <c r="AG129" s="103">
        <v>15578.64</v>
      </c>
    </row>
    <row r="130" spans="1:33" x14ac:dyDescent="0.25">
      <c r="S130" t="s">
        <v>23</v>
      </c>
      <c r="T130" t="s">
        <v>238</v>
      </c>
      <c r="U130" t="s">
        <v>129</v>
      </c>
      <c r="V130" s="28">
        <v>22540</v>
      </c>
      <c r="W130" s="28">
        <v>9040</v>
      </c>
      <c r="Y130" s="28">
        <v>13500</v>
      </c>
      <c r="Z130" t="s">
        <v>130</v>
      </c>
      <c r="AA130" t="s">
        <v>239</v>
      </c>
      <c r="AB130" s="103"/>
      <c r="AC130" s="103"/>
      <c r="AD130" s="103">
        <v>4343369.6</v>
      </c>
      <c r="AF130" s="103"/>
      <c r="AG130" s="103">
        <v>630056.48</v>
      </c>
    </row>
    <row r="131" spans="1:33" x14ac:dyDescent="0.25">
      <c r="S131" t="s">
        <v>25</v>
      </c>
      <c r="T131" t="s">
        <v>139</v>
      </c>
      <c r="U131" t="s">
        <v>129</v>
      </c>
      <c r="V131" s="28">
        <v>50</v>
      </c>
      <c r="W131" s="28">
        <v>35175</v>
      </c>
      <c r="Y131" s="28">
        <v>-35125</v>
      </c>
      <c r="Z131" t="s">
        <v>130</v>
      </c>
      <c r="AA131" t="s">
        <v>240</v>
      </c>
      <c r="AB131" s="103"/>
      <c r="AC131" s="103"/>
      <c r="AD131" s="103">
        <v>666041.13</v>
      </c>
      <c r="AF131" s="103"/>
      <c r="AG131" s="103">
        <v>100368.54</v>
      </c>
    </row>
    <row r="132" spans="1:33" x14ac:dyDescent="0.25">
      <c r="S132" t="s">
        <v>58</v>
      </c>
      <c r="T132" t="s">
        <v>141</v>
      </c>
      <c r="U132" t="s">
        <v>129</v>
      </c>
      <c r="V132" s="28">
        <v>27327</v>
      </c>
      <c r="W132" s="28">
        <v>46175</v>
      </c>
      <c r="Y132" s="28">
        <v>-18848</v>
      </c>
      <c r="Z132" t="s">
        <v>142</v>
      </c>
      <c r="AA132" t="s">
        <v>241</v>
      </c>
      <c r="AB132" s="103"/>
      <c r="AC132" s="103"/>
      <c r="AD132" s="103">
        <v>5410682.54</v>
      </c>
      <c r="AF132" s="103"/>
      <c r="AG132" s="103">
        <v>567094.76</v>
      </c>
    </row>
    <row r="133" spans="1:33" x14ac:dyDescent="0.25">
      <c r="S133" t="s">
        <v>27</v>
      </c>
      <c r="T133" t="s">
        <v>146</v>
      </c>
      <c r="U133" t="s">
        <v>129</v>
      </c>
      <c r="V133" s="28">
        <v>749</v>
      </c>
      <c r="W133" s="28">
        <v>2885</v>
      </c>
      <c r="X133" s="28"/>
      <c r="Y133" s="28">
        <v>-2136</v>
      </c>
      <c r="Z133" t="s">
        <v>130</v>
      </c>
      <c r="AA133" s="28" t="s">
        <v>242</v>
      </c>
      <c r="AB133" s="103"/>
      <c r="AC133" s="103"/>
      <c r="AD133" s="103">
        <v>1448.07</v>
      </c>
      <c r="AF133" s="103"/>
      <c r="AG133" s="103">
        <v>270.88</v>
      </c>
    </row>
    <row r="134" spans="1:33" x14ac:dyDescent="0.25">
      <c r="S134" t="s">
        <v>34</v>
      </c>
      <c r="T134" t="s">
        <v>35</v>
      </c>
      <c r="U134" t="s">
        <v>129</v>
      </c>
      <c r="V134" s="28">
        <v>18149</v>
      </c>
      <c r="W134" s="28">
        <v>33059</v>
      </c>
      <c r="X134" s="28"/>
      <c r="Y134" s="28">
        <v>-14910</v>
      </c>
      <c r="Z134" t="s">
        <v>147</v>
      </c>
      <c r="AA134" s="28" t="s">
        <v>243</v>
      </c>
      <c r="AB134" s="103"/>
      <c r="AC134" s="103"/>
      <c r="AD134" s="103">
        <v>320628.17</v>
      </c>
      <c r="AF134" s="103"/>
      <c r="AG134" s="103">
        <v>48061.11</v>
      </c>
    </row>
    <row r="135" spans="1:33" x14ac:dyDescent="0.25">
      <c r="S135" t="s">
        <v>36</v>
      </c>
      <c r="T135" t="s">
        <v>37</v>
      </c>
      <c r="U135" t="s">
        <v>129</v>
      </c>
      <c r="V135" s="28">
        <v>24053</v>
      </c>
      <c r="W135" s="28">
        <v>6653</v>
      </c>
      <c r="X135" s="28"/>
      <c r="Y135" s="28">
        <v>17400</v>
      </c>
      <c r="Z135" t="s">
        <v>147</v>
      </c>
      <c r="AA135" s="28" t="s">
        <v>244</v>
      </c>
      <c r="AB135" s="103"/>
      <c r="AC135" s="103"/>
      <c r="AD135" s="103">
        <v>6551320.01</v>
      </c>
      <c r="AF135" s="103"/>
      <c r="AG135" s="103">
        <v>871899.41</v>
      </c>
    </row>
    <row r="136" spans="1:33" x14ac:dyDescent="0.25">
      <c r="S136" t="s">
        <v>38</v>
      </c>
      <c r="T136" t="s">
        <v>39</v>
      </c>
      <c r="U136" t="s">
        <v>129</v>
      </c>
      <c r="V136">
        <v>267</v>
      </c>
      <c r="W136" s="28">
        <v>9011</v>
      </c>
      <c r="X136" s="28"/>
      <c r="Y136" s="28">
        <v>-8744</v>
      </c>
      <c r="Z136" t="s">
        <v>147</v>
      </c>
      <c r="AA136" s="28" t="s">
        <v>245</v>
      </c>
      <c r="AB136" s="103"/>
      <c r="AC136" s="103"/>
      <c r="AD136" s="103">
        <v>4756593.62</v>
      </c>
      <c r="AF136" s="103"/>
      <c r="AG136" s="103">
        <v>641292.92</v>
      </c>
    </row>
    <row r="137" spans="1:33" x14ac:dyDescent="0.25">
      <c r="S137" t="s">
        <v>40</v>
      </c>
      <c r="T137" t="s">
        <v>41</v>
      </c>
      <c r="U137" t="s">
        <v>129</v>
      </c>
      <c r="V137" s="28">
        <v>10586</v>
      </c>
      <c r="W137" s="28">
        <v>12402</v>
      </c>
      <c r="X137" s="28"/>
      <c r="Y137" s="28">
        <v>-1816</v>
      </c>
      <c r="Z137" t="s">
        <v>147</v>
      </c>
      <c r="AA137" s="28" t="s">
        <v>246</v>
      </c>
      <c r="AC137" s="103"/>
      <c r="AD137" s="103">
        <v>229139.28</v>
      </c>
      <c r="AF137" s="103"/>
      <c r="AG137" s="103">
        <v>28217.53</v>
      </c>
    </row>
    <row r="138" spans="1:33" x14ac:dyDescent="0.25">
      <c r="S138" t="s">
        <v>48</v>
      </c>
      <c r="T138" t="s">
        <v>49</v>
      </c>
      <c r="U138" t="s">
        <v>129</v>
      </c>
      <c r="V138" s="28">
        <v>36013</v>
      </c>
      <c r="W138" s="28">
        <v>33685</v>
      </c>
      <c r="X138" s="28"/>
      <c r="Y138" s="28">
        <v>2328</v>
      </c>
      <c r="Z138" t="s">
        <v>154</v>
      </c>
      <c r="AA138" s="28" t="s">
        <v>247</v>
      </c>
      <c r="AB138" s="103"/>
      <c r="AC138" s="103"/>
      <c r="AD138" s="103">
        <v>2062415.49</v>
      </c>
      <c r="AF138" s="103"/>
      <c r="AG138" s="103">
        <v>0</v>
      </c>
    </row>
    <row r="139" spans="1:33" x14ac:dyDescent="0.25">
      <c r="S139" t="s">
        <v>50</v>
      </c>
      <c r="T139" t="s">
        <v>51</v>
      </c>
      <c r="U139" t="s">
        <v>129</v>
      </c>
      <c r="V139" s="28">
        <v>15716</v>
      </c>
      <c r="W139" s="28">
        <v>3840</v>
      </c>
      <c r="X139" s="28"/>
      <c r="Y139" s="28">
        <v>11876</v>
      </c>
      <c r="Z139" t="s">
        <v>154</v>
      </c>
      <c r="AA139" s="28" t="s">
        <v>248</v>
      </c>
      <c r="AB139" s="103"/>
      <c r="AC139" s="103"/>
      <c r="AD139" s="103">
        <v>560541.28</v>
      </c>
      <c r="AF139" s="103"/>
      <c r="AG139" s="103">
        <v>134148</v>
      </c>
    </row>
    <row r="140" spans="1:33" x14ac:dyDescent="0.25">
      <c r="S140" t="s">
        <v>52</v>
      </c>
      <c r="T140" t="s">
        <v>53</v>
      </c>
      <c r="U140" t="s">
        <v>129</v>
      </c>
      <c r="V140" s="28">
        <v>5499</v>
      </c>
      <c r="W140" s="28">
        <v>10560</v>
      </c>
      <c r="X140" s="28"/>
      <c r="Y140" s="28">
        <v>-5061</v>
      </c>
      <c r="Z140" t="s">
        <v>154</v>
      </c>
      <c r="AA140" s="28" t="s">
        <v>249</v>
      </c>
      <c r="AC140" s="103"/>
      <c r="AD140" s="103">
        <v>1696133.22</v>
      </c>
      <c r="AG140">
        <v>0</v>
      </c>
    </row>
    <row r="141" spans="1:33" x14ac:dyDescent="0.25">
      <c r="S141" t="s">
        <v>54</v>
      </c>
      <c r="T141" t="s">
        <v>55</v>
      </c>
      <c r="U141" t="s">
        <v>129</v>
      </c>
      <c r="V141">
        <v>34</v>
      </c>
      <c r="W141" s="28">
        <v>6405</v>
      </c>
      <c r="X141" s="28"/>
      <c r="Y141" s="28">
        <v>-6371</v>
      </c>
      <c r="Z141" t="s">
        <v>154</v>
      </c>
      <c r="AA141" s="28" t="s">
        <v>250</v>
      </c>
      <c r="AC141" s="103"/>
      <c r="AD141" s="103">
        <v>109287.35</v>
      </c>
      <c r="AG141">
        <v>0</v>
      </c>
    </row>
    <row r="142" spans="1:33" x14ac:dyDescent="0.25">
      <c r="X142" s="28"/>
      <c r="Y142" s="28"/>
      <c r="Z142" t="s">
        <v>164</v>
      </c>
      <c r="AA142" s="28" t="s">
        <v>251</v>
      </c>
      <c r="AG142">
        <v>0</v>
      </c>
    </row>
    <row r="143" spans="1:33" x14ac:dyDescent="0.25">
      <c r="X143" s="28"/>
      <c r="AA143" s="28"/>
      <c r="AG143">
        <v>0</v>
      </c>
    </row>
    <row r="144" spans="1:33" x14ac:dyDescent="0.25">
      <c r="X144" s="28"/>
      <c r="Y144" s="28"/>
      <c r="Z144" t="s">
        <v>252</v>
      </c>
      <c r="AA144" s="28" t="s">
        <v>251</v>
      </c>
      <c r="AG144">
        <v>0</v>
      </c>
    </row>
    <row r="145" spans="1:33" x14ac:dyDescent="0.25">
      <c r="X145" s="28"/>
      <c r="Y145" s="28"/>
      <c r="AA145" s="28"/>
      <c r="AG145">
        <v>0</v>
      </c>
    </row>
    <row r="146" spans="1:33" x14ac:dyDescent="0.25">
      <c r="X146" s="28"/>
      <c r="Y146" s="28"/>
      <c r="AG146">
        <v>0</v>
      </c>
    </row>
    <row r="147" spans="1:33" x14ac:dyDescent="0.25">
      <c r="X147" s="28"/>
      <c r="AA147" s="28"/>
      <c r="AG147">
        <v>0</v>
      </c>
    </row>
    <row r="148" spans="1:33" x14ac:dyDescent="0.25">
      <c r="AG148">
        <v>0</v>
      </c>
    </row>
    <row r="149" spans="1:33" x14ac:dyDescent="0.25">
      <c r="AG149">
        <v>0</v>
      </c>
    </row>
    <row r="150" spans="1:33" x14ac:dyDescent="0.25">
      <c r="AG150">
        <v>0</v>
      </c>
    </row>
    <row r="151" spans="1:33" x14ac:dyDescent="0.25">
      <c r="AC151" s="103"/>
      <c r="AD151" s="103"/>
      <c r="AG151" s="103">
        <v>268872.22</v>
      </c>
    </row>
    <row r="152" spans="1:33" x14ac:dyDescent="0.25">
      <c r="AG152">
        <v>0</v>
      </c>
    </row>
    <row r="153" spans="1:33" x14ac:dyDescent="0.25">
      <c r="AC153" s="103"/>
      <c r="AD153" s="103"/>
      <c r="AG153" s="103">
        <v>503534.94</v>
      </c>
    </row>
    <row r="154" spans="1:33" x14ac:dyDescent="0.25">
      <c r="AD154" s="103"/>
      <c r="AG154" s="103">
        <v>1300.22</v>
      </c>
    </row>
    <row r="155" spans="1:33" x14ac:dyDescent="0.25">
      <c r="AD155" s="103"/>
      <c r="AG155">
        <v>337.07</v>
      </c>
    </row>
    <row r="156" spans="1:33" x14ac:dyDescent="0.25">
      <c r="AG156">
        <v>0</v>
      </c>
    </row>
    <row r="157" spans="1:33" x14ac:dyDescent="0.25">
      <c r="AG157">
        <v>0</v>
      </c>
    </row>
    <row r="158" spans="1:33" x14ac:dyDescent="0.25">
      <c r="AC158" s="103"/>
      <c r="AD158" s="103"/>
      <c r="AG158" s="103">
        <v>38386.52</v>
      </c>
    </row>
    <row r="159" spans="1:33" x14ac:dyDescent="0.25">
      <c r="AC159" s="103"/>
      <c r="AD159" s="103"/>
      <c r="AG159" s="103">
        <v>267696</v>
      </c>
    </row>
    <row r="160" spans="1:33" x14ac:dyDescent="0.25">
      <c r="AG160">
        <v>0</v>
      </c>
    </row>
    <row r="173" spans="1:32" x14ac:dyDescent="0.25">
      <c r="R173" t="s">
        <v>219</v>
      </c>
      <c r="S173" t="s">
        <v>253</v>
      </c>
      <c r="T173" t="s">
        <v>254</v>
      </c>
      <c r="U173" t="s">
        <v>255</v>
      </c>
      <c r="V173" t="s">
        <v>256</v>
      </c>
      <c r="W173" t="s">
        <v>257</v>
      </c>
      <c r="X173" t="s">
        <v>233</v>
      </c>
      <c r="Y173" t="s">
        <v>258</v>
      </c>
      <c r="Z173" t="s">
        <v>259</v>
      </c>
      <c r="AA173" t="s">
        <v>260</v>
      </c>
      <c r="AB173" t="s">
        <v>261</v>
      </c>
      <c r="AC173" t="s">
        <v>229</v>
      </c>
      <c r="AD173" t="s">
        <v>230</v>
      </c>
      <c r="AE173" t="s">
        <v>231</v>
      </c>
      <c r="AF173" t="s">
        <v>232</v>
      </c>
    </row>
    <row r="174" spans="1:32" x14ac:dyDescent="0.25">
      <c r="R174" t="s">
        <v>108</v>
      </c>
      <c r="S174" t="s">
        <v>262</v>
      </c>
      <c r="Z174">
        <v>0</v>
      </c>
      <c r="AA174">
        <v>0</v>
      </c>
      <c r="AB174" s="103">
        <v>0</v>
      </c>
      <c r="AC174" s="103">
        <v>0</v>
      </c>
      <c r="AF174" s="103">
        <v>0</v>
      </c>
    </row>
    <row r="175" spans="1:32" x14ac:dyDescent="0.25">
      <c r="R175" t="s">
        <v>110</v>
      </c>
      <c r="S175" t="s">
        <v>263</v>
      </c>
      <c r="Z175">
        <v>0</v>
      </c>
      <c r="AA175">
        <v>0</v>
      </c>
      <c r="AB175" s="103">
        <v>0</v>
      </c>
      <c r="AC175" s="103">
        <v>0</v>
      </c>
      <c r="AF175" s="103">
        <v>0</v>
      </c>
    </row>
    <row r="176" spans="1:32" x14ac:dyDescent="0.25">
      <c r="R176" t="s">
        <v>112</v>
      </c>
      <c r="S176" t="s">
        <v>264</v>
      </c>
      <c r="Z176">
        <v>0</v>
      </c>
      <c r="AA176">
        <v>0</v>
      </c>
      <c r="AB176" s="103">
        <v>0</v>
      </c>
      <c r="AC176" s="103">
        <v>0</v>
      </c>
      <c r="AF176" s="103">
        <v>0</v>
      </c>
    </row>
    <row r="177" spans="1:32" x14ac:dyDescent="0.25">
      <c r="R177" t="s">
        <v>114</v>
      </c>
      <c r="S177" t="s">
        <v>265</v>
      </c>
      <c r="Z177">
        <v>0</v>
      </c>
      <c r="AA177">
        <v>0</v>
      </c>
      <c r="AB177" s="103">
        <v>0</v>
      </c>
      <c r="AC177" s="103">
        <v>0</v>
      </c>
      <c r="AF177" s="103">
        <v>0</v>
      </c>
    </row>
    <row r="178" spans="1:32" x14ac:dyDescent="0.25">
      <c r="R178" t="s">
        <v>116</v>
      </c>
      <c r="S178" t="s">
        <v>266</v>
      </c>
      <c r="Z178">
        <v>0</v>
      </c>
      <c r="AA178">
        <v>0</v>
      </c>
      <c r="AB178" s="103">
        <v>0</v>
      </c>
      <c r="AC178" s="103">
        <v>0</v>
      </c>
      <c r="AF178" s="103">
        <v>0</v>
      </c>
    </row>
    <row r="179" spans="1:32" x14ac:dyDescent="0.25">
      <c r="R179" t="s">
        <v>118</v>
      </c>
      <c r="S179" t="s">
        <v>267</v>
      </c>
      <c r="Z179">
        <v>0</v>
      </c>
      <c r="AA179">
        <v>0</v>
      </c>
      <c r="AB179" s="103">
        <v>0</v>
      </c>
      <c r="AC179" s="103">
        <v>0</v>
      </c>
      <c r="AF179" s="103">
        <v>0</v>
      </c>
    </row>
    <row r="180" spans="1:32" x14ac:dyDescent="0.25">
      <c r="R180" t="s">
        <v>14</v>
      </c>
      <c r="S180" t="s">
        <v>128</v>
      </c>
      <c r="Z180">
        <v>0</v>
      </c>
      <c r="AA180">
        <v>0</v>
      </c>
      <c r="AB180" s="103">
        <v>86449</v>
      </c>
      <c r="AC180" s="103">
        <v>6780586.11</v>
      </c>
      <c r="AE180" s="103"/>
      <c r="AF180" s="103">
        <v>4713804.62</v>
      </c>
    </row>
    <row r="181" spans="1:32" x14ac:dyDescent="0.25">
      <c r="R181" t="s">
        <v>17</v>
      </c>
      <c r="S181" t="s">
        <v>133</v>
      </c>
      <c r="Z181">
        <v>0</v>
      </c>
      <c r="AA181">
        <v>0</v>
      </c>
      <c r="AB181" s="103">
        <v>30407</v>
      </c>
      <c r="AC181" s="103">
        <v>2732166.05</v>
      </c>
      <c r="AE181" s="103"/>
      <c r="AF181" s="103">
        <v>350683.93</v>
      </c>
    </row>
    <row r="182" spans="1:32" x14ac:dyDescent="0.25">
      <c r="R182" t="s">
        <v>19</v>
      </c>
      <c r="S182" t="s">
        <v>135</v>
      </c>
      <c r="Z182">
        <v>0</v>
      </c>
      <c r="AA182">
        <v>0</v>
      </c>
      <c r="AB182" s="103">
        <v>27306</v>
      </c>
      <c r="AC182" s="103">
        <v>1950654.52</v>
      </c>
      <c r="AE182" s="103"/>
      <c r="AF182" s="103">
        <v>261646.09</v>
      </c>
    </row>
    <row r="183" spans="1:32" x14ac:dyDescent="0.25">
      <c r="R183" t="s">
        <v>21</v>
      </c>
      <c r="S183" t="s">
        <v>137</v>
      </c>
      <c r="Z183">
        <v>0</v>
      </c>
      <c r="AA183">
        <v>0</v>
      </c>
      <c r="AB183" s="103">
        <v>0</v>
      </c>
      <c r="AC183" s="103">
        <v>10.65</v>
      </c>
      <c r="AE183" s="103"/>
      <c r="AF183" s="103">
        <v>0</v>
      </c>
    </row>
    <row r="184" spans="1:32" x14ac:dyDescent="0.25">
      <c r="R184" t="s">
        <v>23</v>
      </c>
      <c r="S184" t="s">
        <v>238</v>
      </c>
      <c r="Z184">
        <v>0</v>
      </c>
      <c r="AA184">
        <v>0</v>
      </c>
      <c r="AB184" s="103">
        <v>0</v>
      </c>
      <c r="AC184" s="103">
        <v>1.27</v>
      </c>
      <c r="AF184" s="103">
        <v>0</v>
      </c>
    </row>
    <row r="185" spans="1:32" x14ac:dyDescent="0.25">
      <c r="R185" t="s">
        <v>25</v>
      </c>
      <c r="S185" t="s">
        <v>139</v>
      </c>
      <c r="Z185">
        <v>0</v>
      </c>
      <c r="AA185">
        <v>0</v>
      </c>
      <c r="AB185" s="103">
        <v>29113</v>
      </c>
      <c r="AC185" s="103">
        <v>1185155.44</v>
      </c>
      <c r="AE185" s="103"/>
      <c r="AF185" s="103">
        <v>327230.12</v>
      </c>
    </row>
    <row r="186" spans="1:32" x14ac:dyDescent="0.25">
      <c r="R186" t="s">
        <v>192</v>
      </c>
      <c r="S186" t="s">
        <v>268</v>
      </c>
      <c r="Z186">
        <v>0</v>
      </c>
      <c r="AA186">
        <v>0</v>
      </c>
      <c r="AB186">
        <v>0</v>
      </c>
      <c r="AC186">
        <v>-185.31</v>
      </c>
      <c r="AF186">
        <v>0</v>
      </c>
    </row>
    <row r="187" spans="1:32" x14ac:dyDescent="0.25">
      <c r="R187" t="s">
        <v>58</v>
      </c>
      <c r="S187" t="s">
        <v>141</v>
      </c>
      <c r="Z187">
        <v>0</v>
      </c>
      <c r="AA187">
        <v>0</v>
      </c>
      <c r="AB187" s="103">
        <v>85954</v>
      </c>
      <c r="AC187" s="103">
        <v>376184604.02</v>
      </c>
      <c r="AE187" s="103"/>
      <c r="AF187" s="103">
        <v>1536685.61</v>
      </c>
    </row>
    <row r="188" spans="1:32" x14ac:dyDescent="0.25">
      <c r="R188" t="s">
        <v>201</v>
      </c>
      <c r="S188" t="s">
        <v>269</v>
      </c>
      <c r="Z188">
        <v>0</v>
      </c>
      <c r="AA188">
        <v>0</v>
      </c>
      <c r="AB188">
        <v>0</v>
      </c>
      <c r="AC188">
        <v>2.19</v>
      </c>
      <c r="AF188">
        <v>0</v>
      </c>
    </row>
    <row r="189" spans="1:32" x14ac:dyDescent="0.25">
      <c r="R189" t="s">
        <v>186</v>
      </c>
      <c r="S189" t="s">
        <v>270</v>
      </c>
      <c r="Z189">
        <v>0</v>
      </c>
      <c r="AA189">
        <v>0</v>
      </c>
      <c r="AB189">
        <v>0</v>
      </c>
      <c r="AC189">
        <v>1.14</v>
      </c>
      <c r="AF189">
        <v>0</v>
      </c>
    </row>
    <row r="190" spans="1:32" x14ac:dyDescent="0.25">
      <c r="R190" t="s">
        <v>188</v>
      </c>
      <c r="S190" t="s">
        <v>271</v>
      </c>
      <c r="Z190">
        <v>0</v>
      </c>
      <c r="AA190">
        <v>0</v>
      </c>
      <c r="AB190">
        <v>0</v>
      </c>
      <c r="AC190">
        <v>0</v>
      </c>
      <c r="AF190">
        <v>0</v>
      </c>
    </row>
    <row r="191" spans="1:32" x14ac:dyDescent="0.25">
      <c r="R191" t="s">
        <v>190</v>
      </c>
      <c r="S191" t="s">
        <v>272</v>
      </c>
      <c r="Z191">
        <v>0</v>
      </c>
      <c r="AA191">
        <v>0</v>
      </c>
      <c r="AB191">
        <v>0</v>
      </c>
      <c r="AC191">
        <v>-194.63</v>
      </c>
      <c r="AF191">
        <v>0</v>
      </c>
    </row>
    <row r="192" spans="1:32" x14ac:dyDescent="0.25">
      <c r="R192" t="s">
        <v>205</v>
      </c>
      <c r="S192" t="s">
        <v>273</v>
      </c>
      <c r="Z192">
        <v>0</v>
      </c>
      <c r="AA192">
        <v>0</v>
      </c>
      <c r="AB192">
        <v>0</v>
      </c>
      <c r="AC192">
        <v>0</v>
      </c>
      <c r="AF192">
        <v>0</v>
      </c>
    </row>
    <row r="193" spans="1:32" x14ac:dyDescent="0.25">
      <c r="R193" t="s">
        <v>207</v>
      </c>
      <c r="S193" t="s">
        <v>274</v>
      </c>
      <c r="Z193">
        <v>0</v>
      </c>
      <c r="AA193">
        <v>0</v>
      </c>
      <c r="AB193">
        <v>0</v>
      </c>
      <c r="AC193">
        <v>0</v>
      </c>
      <c r="AF193">
        <v>0</v>
      </c>
    </row>
    <row r="194" spans="1:32" x14ac:dyDescent="0.25">
      <c r="R194" t="s">
        <v>74</v>
      </c>
      <c r="S194" t="s">
        <v>75</v>
      </c>
      <c r="Z194">
        <v>0</v>
      </c>
      <c r="AA194">
        <v>0</v>
      </c>
      <c r="AB194">
        <v>0</v>
      </c>
      <c r="AC194">
        <v>0</v>
      </c>
      <c r="AF194">
        <v>0</v>
      </c>
    </row>
    <row r="195" spans="1:32" x14ac:dyDescent="0.25">
      <c r="R195" t="s">
        <v>76</v>
      </c>
      <c r="S195" t="s">
        <v>77</v>
      </c>
      <c r="Z195">
        <v>0</v>
      </c>
      <c r="AA195">
        <v>0</v>
      </c>
      <c r="AB195">
        <v>0</v>
      </c>
      <c r="AC195">
        <v>0</v>
      </c>
      <c r="AF195">
        <v>0</v>
      </c>
    </row>
    <row r="196" spans="1:32" x14ac:dyDescent="0.25">
      <c r="R196" t="s">
        <v>120</v>
      </c>
      <c r="S196" t="s">
        <v>121</v>
      </c>
      <c r="Z196">
        <v>0</v>
      </c>
      <c r="AA196">
        <v>0</v>
      </c>
      <c r="AB196">
        <v>0</v>
      </c>
      <c r="AC196">
        <v>0</v>
      </c>
      <c r="AF196">
        <v>0</v>
      </c>
    </row>
    <row r="197" spans="1:32" x14ac:dyDescent="0.25">
      <c r="R197" t="s">
        <v>215</v>
      </c>
      <c r="S197" t="s">
        <v>275</v>
      </c>
      <c r="Z197">
        <v>0</v>
      </c>
      <c r="AA197">
        <v>0</v>
      </c>
      <c r="AB197">
        <v>0</v>
      </c>
      <c r="AC197">
        <v>0</v>
      </c>
      <c r="AF197">
        <v>0</v>
      </c>
    </row>
    <row r="198" spans="1:32" x14ac:dyDescent="0.25">
      <c r="R198" t="s">
        <v>217</v>
      </c>
      <c r="S198" t="s">
        <v>276</v>
      </c>
      <c r="Z198">
        <v>0</v>
      </c>
      <c r="AA198">
        <v>0</v>
      </c>
      <c r="AB198">
        <v>0</v>
      </c>
      <c r="AC198">
        <v>0</v>
      </c>
      <c r="AF198">
        <v>0</v>
      </c>
    </row>
    <row r="199" spans="1:32" x14ac:dyDescent="0.25">
      <c r="R199" t="s">
        <v>144</v>
      </c>
      <c r="S199" t="s">
        <v>145</v>
      </c>
      <c r="Z199">
        <v>0</v>
      </c>
      <c r="AA199">
        <v>0</v>
      </c>
      <c r="AB199">
        <v>0</v>
      </c>
      <c r="AC199">
        <v>0</v>
      </c>
      <c r="AF199">
        <v>0</v>
      </c>
    </row>
    <row r="200" spans="1:32" x14ac:dyDescent="0.25">
      <c r="R200" t="s">
        <v>27</v>
      </c>
      <c r="S200" t="s">
        <v>146</v>
      </c>
      <c r="Z200">
        <v>0</v>
      </c>
      <c r="AA200">
        <v>0</v>
      </c>
      <c r="AB200" s="103">
        <v>18135</v>
      </c>
      <c r="AC200" s="103">
        <v>1428983.96</v>
      </c>
      <c r="AE200" s="103"/>
      <c r="AF200" s="103">
        <v>196819.16</v>
      </c>
    </row>
    <row r="201" spans="1:32" x14ac:dyDescent="0.25">
      <c r="R201" t="s">
        <v>149</v>
      </c>
      <c r="S201" t="s">
        <v>150</v>
      </c>
      <c r="Z201">
        <v>0</v>
      </c>
      <c r="AA201">
        <v>0</v>
      </c>
      <c r="AB201">
        <v>0</v>
      </c>
      <c r="AC201">
        <v>0</v>
      </c>
      <c r="AF201">
        <v>0</v>
      </c>
    </row>
    <row r="202" spans="1:32" x14ac:dyDescent="0.25">
      <c r="R202" t="s">
        <v>34</v>
      </c>
      <c r="S202" t="s">
        <v>35</v>
      </c>
      <c r="Z202">
        <v>0</v>
      </c>
      <c r="AA202">
        <v>0</v>
      </c>
      <c r="AB202" s="103">
        <v>48811</v>
      </c>
      <c r="AC202" s="103">
        <v>4088778.69</v>
      </c>
      <c r="AE202" s="103"/>
      <c r="AF202" s="103">
        <v>379407.9</v>
      </c>
    </row>
    <row r="203" spans="1:32" x14ac:dyDescent="0.25">
      <c r="R203" t="s">
        <v>36</v>
      </c>
      <c r="S203" t="s">
        <v>37</v>
      </c>
      <c r="Z203">
        <v>0</v>
      </c>
      <c r="AA203">
        <v>0</v>
      </c>
      <c r="AB203" s="103">
        <v>21848</v>
      </c>
      <c r="AC203" s="103">
        <v>2185490.65</v>
      </c>
      <c r="AE203" s="103"/>
      <c r="AF203" s="103">
        <v>295909.31</v>
      </c>
    </row>
    <row r="204" spans="1:32" x14ac:dyDescent="0.25">
      <c r="R204" t="s">
        <v>40</v>
      </c>
      <c r="S204" t="s">
        <v>41</v>
      </c>
      <c r="Z204">
        <v>0</v>
      </c>
      <c r="AA204">
        <v>0</v>
      </c>
      <c r="AB204" s="103">
        <v>0</v>
      </c>
      <c r="AC204" s="103">
        <v>0</v>
      </c>
      <c r="AE204" s="103"/>
      <c r="AF204" s="103">
        <v>0</v>
      </c>
    </row>
    <row r="205" spans="1:32" x14ac:dyDescent="0.25">
      <c r="R205" t="s">
        <v>159</v>
      </c>
      <c r="S205" t="s">
        <v>160</v>
      </c>
      <c r="Z205">
        <v>0</v>
      </c>
      <c r="AA205">
        <v>0</v>
      </c>
      <c r="AB205" s="103">
        <v>2256</v>
      </c>
      <c r="AC205" s="103">
        <v>203699.31</v>
      </c>
      <c r="AE205" s="103"/>
      <c r="AF205" s="103">
        <v>23383.44</v>
      </c>
    </row>
    <row r="206" spans="1:32" x14ac:dyDescent="0.25">
      <c r="R206" t="s">
        <v>48</v>
      </c>
      <c r="S206" t="s">
        <v>49</v>
      </c>
      <c r="Z206">
        <v>0</v>
      </c>
      <c r="AA206">
        <v>0</v>
      </c>
      <c r="AB206" s="103">
        <v>5393</v>
      </c>
      <c r="AC206" s="103">
        <v>287644.13</v>
      </c>
      <c r="AE206" s="103"/>
      <c r="AF206" s="103">
        <v>30637.63</v>
      </c>
    </row>
    <row r="207" spans="28:31" x14ac:dyDescent="0.25">
      <c r="AB207" s="103"/>
      <c r="AC207" s="103"/>
      <c r="AE207" s="103"/>
    </row>
    <row r="208" spans="28:31" x14ac:dyDescent="0.25">
      <c r="AB208" s="103"/>
      <c r="AC208" s="103"/>
      <c r="AE208" s="103"/>
    </row>
    <row r="209" spans="28:31" x14ac:dyDescent="0.25">
      <c r="AB209" s="103"/>
      <c r="AC209" s="103"/>
      <c r="AE209" s="103"/>
    </row>
    <row r="210" spans="28:29" x14ac:dyDescent="0.25">
      <c r="AB210" s="103"/>
      <c r="AC210" s="103"/>
    </row>
  </sheetData>
  <mergeCells count="1">
    <mergeCell ref="AN24:AN90"/>
  </mergeCells>
  <conditionalFormatting sqref="I1">
    <cfRule type="cellIs" dxfId="47" priority="50" operator="equal">
      <formula>0</formula>
    </cfRule>
  </conditionalFormatting>
  <conditionalFormatting sqref="I2">
    <cfRule type="cellIs" dxfId="48" priority="49" operator="equal">
      <formula>0</formula>
    </cfRule>
  </conditionalFormatting>
  <conditionalFormatting sqref="O14:O93">
    <cfRule type="cellIs" dxfId="49" priority="8" operator="lessThan">
      <formula>0</formula>
    </cfRule>
  </conditionalFormatting>
  <conditionalFormatting sqref="O95:O119">
    <cfRule type="cellIs" dxfId="50" priority="59" operator="lessThan">
      <formula>0</formula>
    </cfRule>
  </conditionalFormatting>
  <conditionalFormatting sqref="Q24">
    <cfRule type="cellIs" dxfId="51" priority="57" operator="lessThan">
      <formula>1000</formula>
    </cfRule>
    <cfRule type="cellIs" dxfId="52" priority="58" operator="greaterThan">
      <formula>1500</formula>
    </cfRule>
  </conditionalFormatting>
  <conditionalFormatting sqref="Q25">
    <cfRule type="cellIs" dxfId="53" priority="55" operator="lessThan">
      <formula>300</formula>
    </cfRule>
    <cfRule type="cellIs" dxfId="54" priority="56" operator="greaterThan">
      <formula>500</formula>
    </cfRule>
  </conditionalFormatting>
  <conditionalFormatting sqref="Q26">
    <cfRule type="cellIs" dxfId="55" priority="53" operator="lessThan">
      <formula>500</formula>
    </cfRule>
    <cfRule type="cellIs" dxfId="56" priority="54" operator="greaterThan">
      <formula>800</formula>
    </cfRule>
  </conditionalFormatting>
  <conditionalFormatting sqref="Q27:Q28">
    <cfRule type="cellIs" dxfId="57" priority="51" operator="lessThan">
      <formula>200</formula>
    </cfRule>
    <cfRule type="cellIs" dxfId="58" priority="52" operator="greaterThan">
      <formula>300</formula>
    </cfRule>
  </conditionalFormatting>
  <conditionalFormatting sqref="Q29">
    <cfRule type="cellIs" dxfId="59" priority="47" operator="lessThan">
      <formula>500</formula>
    </cfRule>
    <cfRule type="cellIs" dxfId="60" priority="48" operator="greaterThan">
      <formula>800</formula>
    </cfRule>
  </conditionalFormatting>
  <conditionalFormatting sqref="Q31">
    <cfRule type="cellIs" dxfId="61" priority="45" operator="lessThan">
      <formula>10</formula>
    </cfRule>
    <cfRule type="cellIs" dxfId="62" priority="46" operator="greaterThan">
      <formula>80</formula>
    </cfRule>
  </conditionalFormatting>
  <conditionalFormatting sqref="Q33">
    <cfRule type="cellIs" dxfId="63" priority="43" operator="lessThan">
      <formula>200</formula>
    </cfRule>
    <cfRule type="cellIs" dxfId="64" priority="44" operator="greaterThan">
      <formula>300</formula>
    </cfRule>
  </conditionalFormatting>
  <conditionalFormatting sqref="Q34">
    <cfRule type="cellIs" dxfId="65" priority="41" operator="lessThan">
      <formula>50</formula>
    </cfRule>
    <cfRule type="cellIs" dxfId="66" priority="42" operator="greaterThan">
      <formula>100</formula>
    </cfRule>
  </conditionalFormatting>
  <conditionalFormatting sqref="Q35">
    <cfRule type="cellIs" dxfId="67" priority="39" operator="lessThan">
      <formula>400</formula>
    </cfRule>
    <cfRule type="cellIs" dxfId="68" priority="40" operator="greaterThan">
      <formula>1300</formula>
    </cfRule>
  </conditionalFormatting>
  <conditionalFormatting sqref="Q36:Q38">
    <cfRule type="cellIs" dxfId="69" priority="37" operator="lessThan">
      <formula>200</formula>
    </cfRule>
    <cfRule type="cellIs" dxfId="70" priority="38" operator="greaterThan">
      <formula>400</formula>
    </cfRule>
  </conditionalFormatting>
  <conditionalFormatting sqref="Q39">
    <cfRule type="cellIs" dxfId="71" priority="35" operator="lessThan">
      <formula>60</formula>
    </cfRule>
    <cfRule type="cellIs" dxfId="72" priority="36" operator="greaterThan">
      <formula>100</formula>
    </cfRule>
  </conditionalFormatting>
  <conditionalFormatting sqref="Q40:Q41">
    <cfRule type="cellIs" dxfId="73" priority="31" operator="lessThan">
      <formula>200</formula>
    </cfRule>
    <cfRule type="cellIs" dxfId="74" priority="32" operator="greaterThan">
      <formula>400</formula>
    </cfRule>
  </conditionalFormatting>
  <conditionalFormatting sqref="Q42:Q43">
    <cfRule type="cellIs" dxfId="75" priority="33" operator="lessThan">
      <formula>0</formula>
    </cfRule>
    <cfRule type="cellIs" dxfId="76" priority="34" operator="equal">
      <formula>0</formula>
    </cfRule>
  </conditionalFormatting>
  <conditionalFormatting sqref="Q44">
    <cfRule type="cellIs" dxfId="77" priority="29" operator="lessThan">
      <formula>100</formula>
    </cfRule>
    <cfRule type="cellIs" dxfId="78" priority="30" operator="greaterThan">
      <formula>250</formula>
    </cfRule>
  </conditionalFormatting>
  <conditionalFormatting sqref="Q45:Q46">
    <cfRule type="cellIs" dxfId="79" priority="27" operator="lessThan">
      <formula>50</formula>
    </cfRule>
    <cfRule type="cellIs" dxfId="80" priority="28" operator="greaterThan">
      <formula>150</formula>
    </cfRule>
  </conditionalFormatting>
  <conditionalFormatting sqref="Q47">
    <cfRule type="cellIs" dxfId="81" priority="23" operator="lessThan">
      <formula>20</formula>
    </cfRule>
    <cfRule type="cellIs" dxfId="82" priority="24" operator="greaterThan">
      <formula>70</formula>
    </cfRule>
  </conditionalFormatting>
  <conditionalFormatting sqref="Q48:Q50">
    <cfRule type="cellIs" dxfId="83" priority="25" operator="lessThan">
      <formula>50</formula>
    </cfRule>
    <cfRule type="cellIs" dxfId="84" priority="26" operator="greaterThan">
      <formula>150</formula>
    </cfRule>
  </conditionalFormatting>
  <conditionalFormatting sqref="Q51:Q52">
    <cfRule type="cellIs" dxfId="85" priority="21" operator="lessThan">
      <formula>5</formula>
    </cfRule>
    <cfRule type="cellIs" dxfId="86" priority="22" operator="greaterThan">
      <formula>50</formula>
    </cfRule>
  </conditionalFormatting>
  <conditionalFormatting sqref="Q63:Q64">
    <cfRule type="cellIs" dxfId="87" priority="19" operator="lessThan">
      <formula>500</formula>
    </cfRule>
    <cfRule type="cellIs" dxfId="88" priority="20" operator="greaterThan">
      <formula>1500</formula>
    </cfRule>
  </conditionalFormatting>
  <conditionalFormatting sqref="Q65">
    <cfRule type="cellIs" dxfId="89" priority="13" operator="lessThan">
      <formula>300</formula>
    </cfRule>
    <cfRule type="cellIs" dxfId="90" priority="14" operator="greaterThan">
      <formula>600</formula>
    </cfRule>
  </conditionalFormatting>
  <conditionalFormatting sqref="Q66">
    <cfRule type="cellIs" dxfId="91" priority="7" operator="greaterThan">
      <formula>1500</formula>
    </cfRule>
  </conditionalFormatting>
  <conditionalFormatting sqref="Q66:Q69">
    <cfRule type="cellIs" dxfId="92" priority="5" operator="lessThan">
      <formula>500</formula>
    </cfRule>
  </conditionalFormatting>
  <conditionalFormatting sqref="Q67">
    <cfRule type="cellIs" dxfId="93" priority="6" operator="greaterThan">
      <formula>800</formula>
    </cfRule>
  </conditionalFormatting>
  <conditionalFormatting sqref="Q68">
    <cfRule type="cellIs" dxfId="94" priority="18" operator="greaterThan">
      <formula>1500</formula>
    </cfRule>
  </conditionalFormatting>
  <conditionalFormatting sqref="Q69">
    <cfRule type="cellIs" dxfId="95" priority="17" operator="greaterThan">
      <formula>800</formula>
    </cfRule>
  </conditionalFormatting>
  <conditionalFormatting sqref="Q74:Q77">
    <cfRule type="cellIs" dxfId="96" priority="9" operator="lessThan">
      <formula>500</formula>
    </cfRule>
    <cfRule type="cellIs" dxfId="97" priority="10" operator="greaterThan">
      <formula>800</formula>
    </cfRule>
  </conditionalFormatting>
  <conditionalFormatting sqref="Q78:Q79">
    <cfRule type="cellIs" dxfId="98" priority="15" operator="lessThan">
      <formula>200</formula>
    </cfRule>
    <cfRule type="cellIs" dxfId="99" priority="16" operator="greaterThan">
      <formula>600</formula>
    </cfRule>
  </conditionalFormatting>
  <conditionalFormatting sqref="Q80:Q81">
    <cfRule type="cellIs" dxfId="100" priority="3" operator="lessThan">
      <formula>500</formula>
    </cfRule>
    <cfRule type="cellIs" dxfId="101" priority="4" operator="greaterThan">
      <formula>800</formula>
    </cfRule>
  </conditionalFormatting>
  <conditionalFormatting sqref="Q82:Q90">
    <cfRule type="cellIs" dxfId="102" priority="11" operator="lessThan">
      <formula>200</formula>
    </cfRule>
    <cfRule type="cellIs" dxfId="103" priority="12" operator="greaterThan">
      <formula>600</formula>
    </cfRule>
  </conditionalFormatting>
  <conditionalFormatting sqref="AJ24:AJ90">
    <cfRule type="cellIs" dxfId="104" priority="1" operator="greaterThan">
      <formula>4</formula>
    </cfRule>
    <cfRule type="cellIs" dxfId="105" priority="2" operator="lessThan">
      <formula>4</formula>
    </cfRule>
  </conditionalFormatting>
  <pageMargins left="0" right="0" top="0.5905511811023623" bottom="0" header="0" footer="0"/>
  <pageSetup orientation="portrait" horizontalDpi="4294967293" verticalDpi="4294967295" scale="5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Existencia Sistema</vt:lpstr>
      <vt:lpstr>Existencia Sistemaac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agdalys.a</dc:creator>
  <cp:lastModifiedBy>Yonny Hernandez</cp:lastModifiedBy>
  <cp:lastPrinted>2026-09-26T22:43:46Z</cp:lastPrinted>
  <dcterms:created xsi:type="dcterms:W3CDTF">2014-09-02T11:57:04Z</dcterms:created>
  <dcterms:modified xsi:type="dcterms:W3CDTF">2026-10-28T13:51:14Z</dcterms:modified>
</cp:coreProperties>
</file>