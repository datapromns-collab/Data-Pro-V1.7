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</sheets>
  <definedNames>
    <definedName name="_xlnm.Print_Area" localSheetId="0">'Existencia Sistema'!$A1:$J46</definedName>
  </definedNames>
  <calcPr calcId="171027"/>
</workbook>
</file>

<file path=xl/sharedStrings.xml><?xml version="1.0" encoding="utf-8"?>
<sst xmlns="http://schemas.openxmlformats.org/spreadsheetml/2006/main" count="131" uniqueCount="94">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</sst>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family val="2"/>
      <scheme val="minor"/>
      <sz val="11"/>
      <name val="Calibri"/>
    </font>
    <font>
      <b/>
      <family val="2"/>
      <scheme val="minor"/>
      <sz val="18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5999938962981048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87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3" borderId="14" xfId="0" applyNumberFormat="1" applyFont="1" applyFill="1" applyBorder="1"/>
    <xf numFmtId="3" fontId="0" fillId="0" borderId="14" xfId="0" applyNumberFormat="1" applyBorder="1"/>
    <xf numFmtId="3" fontId="7" fillId="0" borderId="14" xfId="0" applyNumberFormat="1" applyFont="1" applyBorder="1"/>
    <xf numFmtId="0" fontId="7" fillId="0" borderId="14" xfId="0" applyFont="1" applyBorder="1"/>
    <xf numFmtId="0" fontId="7" fillId="0" borderId="17" xfId="0" applyFont="1" applyBorder="1"/>
    <xf numFmtId="0" fontId="6" fillId="0" borderId="16" xfId="0" applyFont="1" applyBorder="1"/>
    <xf numFmtId="0" fontId="6" fillId="0" borderId="14" xfId="0" applyFont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0" fontId="8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9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3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2" fillId="4" borderId="14" xfId="0" applyNumberFormat="1" applyFont="1" applyFill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9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9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4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T10" sqref="T10"/>
    </sheetView>
  </sheetViews>
  <sheetFormatPr defaultRowHeight="15" outlineLevelRow="0" outlineLevelCol="0" x14ac:dyDescent="0.25"/>
  <cols>
    <col min="1" max="1" width="17.140625" customWidth="1"/>
    <col min="2" max="2" width="50.425781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v>46278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0.75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8459+25760+30160</f>
        <v>64379</v>
      </c>
      <c r="F5" s="24"/>
      <c r="G5" s="24" t="s">
        <v>16</v>
      </c>
      <c r="H5" s="25">
        <f t="shared" ref="H5:H43" si="0">+E5/C5</f>
        <v>804.7375</v>
      </c>
      <c r="I5" s="26">
        <v>804</v>
      </c>
      <c r="J5" s="27">
        <f t="shared" ref="J5:J43" si="1">IFERROR(ROUND((+H5/I5),1),0)</f>
        <v>1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115-2</f>
        <v>113</v>
      </c>
      <c r="F6" s="34"/>
      <c r="G6" s="34" t="s">
        <v>16</v>
      </c>
      <c r="H6" s="35">
        <f t="shared" si="0"/>
        <v>1.4125</v>
      </c>
      <c r="I6" s="36">
        <v>111</v>
      </c>
      <c r="J6" s="37">
        <f t="shared" si="1"/>
        <v>0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5">
        <v>14588</v>
      </c>
      <c r="F7" s="34"/>
      <c r="G7" s="34" t="s">
        <v>16</v>
      </c>
      <c r="H7" s="35">
        <f t="shared" si="0"/>
        <v>182.35</v>
      </c>
      <c r="I7" s="36">
        <v>240</v>
      </c>
      <c r="J7" s="37">
        <f t="shared" si="1"/>
        <v>0.8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5">
        <f>21739+15440</f>
        <v>37179</v>
      </c>
      <c r="F8" s="34"/>
      <c r="G8" s="34" t="s">
        <v>16</v>
      </c>
      <c r="H8" s="35">
        <f t="shared" si="0"/>
        <v>464.7375</v>
      </c>
      <c r="I8" s="36">
        <v>83</v>
      </c>
      <c r="J8" s="37">
        <f t="shared" si="1"/>
        <v>5.6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5">
        <v>0</v>
      </c>
      <c r="F9" s="34"/>
      <c r="G9" s="34" t="s">
        <v>16</v>
      </c>
      <c r="H9" s="35">
        <f t="shared" si="0"/>
        <v>0</v>
      </c>
      <c r="I9" s="36">
        <v>86</v>
      </c>
      <c r="J9" s="37">
        <f t="shared" si="1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5">
        <f>42174+16560</f>
        <v>58734</v>
      </c>
      <c r="F10" s="34"/>
      <c r="G10" s="34" t="s">
        <v>16</v>
      </c>
      <c r="H10" s="35">
        <f t="shared" si="0"/>
        <v>734.175</v>
      </c>
      <c r="I10" s="36">
        <v>261</v>
      </c>
      <c r="J10" s="37">
        <f t="shared" si="1"/>
        <v>2.8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5">
        <v>6025</v>
      </c>
      <c r="F11" s="34"/>
      <c r="G11" s="34" t="s">
        <v>16</v>
      </c>
      <c r="H11" s="35">
        <f t="shared" si="0"/>
        <v>75.3125</v>
      </c>
      <c r="I11" s="36">
        <v>6</v>
      </c>
      <c r="J11" s="37">
        <f t="shared" si="1"/>
        <v>12.6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33">
        <f>13135-1</f>
        <v>13134</v>
      </c>
      <c r="F12" s="32"/>
      <c r="G12" s="32" t="s">
        <v>31</v>
      </c>
      <c r="H12" s="35">
        <f t="shared" si="0"/>
        <v>164.175</v>
      </c>
      <c r="I12" s="36">
        <v>60</v>
      </c>
      <c r="J12" s="37">
        <f t="shared" si="1"/>
        <v>2.7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5">
        <v>238</v>
      </c>
      <c r="F13" s="32"/>
      <c r="G13" s="32" t="s">
        <v>31</v>
      </c>
      <c r="H13" s="35">
        <f t="shared" si="0"/>
        <v>2.975</v>
      </c>
      <c r="I13" s="36">
        <v>6</v>
      </c>
      <c r="J13" s="37">
        <f t="shared" si="1"/>
        <v>0.5</v>
      </c>
    </row>
    <row r="14" ht="27.95" customHeight="1" spans="1:10" x14ac:dyDescent="0.25">
      <c r="A14" s="40" t="s">
        <v>34</v>
      </c>
      <c r="B14" s="41" t="s">
        <v>35</v>
      </c>
      <c r="C14" s="42">
        <v>78</v>
      </c>
      <c r="D14" s="43"/>
      <c r="E14" s="23">
        <v>9087</v>
      </c>
      <c r="F14" s="44"/>
      <c r="G14" s="44" t="s">
        <v>31</v>
      </c>
      <c r="H14" s="23">
        <f t="shared" si="0"/>
        <v>116.5</v>
      </c>
      <c r="I14" s="45">
        <v>118</v>
      </c>
      <c r="J14" s="46">
        <f t="shared" si="1"/>
        <v>1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35">
        <f>8914+2730</f>
        <v>11644</v>
      </c>
      <c r="F15" s="34"/>
      <c r="G15" s="34" t="s">
        <v>31</v>
      </c>
      <c r="H15" s="35">
        <f t="shared" si="0"/>
        <v>149.28205128205127</v>
      </c>
      <c r="I15" s="36">
        <v>14</v>
      </c>
      <c r="J15" s="37">
        <f t="shared" si="1"/>
        <v>10.7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5">
        <v>10052</v>
      </c>
      <c r="F16" s="34"/>
      <c r="G16" s="34" t="s">
        <v>31</v>
      </c>
      <c r="H16" s="35">
        <f t="shared" si="0"/>
        <v>128.87179487179486</v>
      </c>
      <c r="I16" s="36">
        <v>49</v>
      </c>
      <c r="J16" s="37">
        <f t="shared" si="1"/>
        <v>2.6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5">
        <v>25895</v>
      </c>
      <c r="F17" s="34"/>
      <c r="G17" s="34" t="s">
        <v>31</v>
      </c>
      <c r="H17" s="35">
        <f t="shared" si="0"/>
        <v>331.9871794871795</v>
      </c>
      <c r="I17" s="36">
        <v>45</v>
      </c>
      <c r="J17" s="37">
        <f t="shared" si="1"/>
        <v>7.4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5">
        <f>6+9594</f>
        <v>9600</v>
      </c>
      <c r="F18" s="34"/>
      <c r="G18" s="32" t="s">
        <v>31</v>
      </c>
      <c r="H18" s="35">
        <f t="shared" si="0"/>
        <v>123.07692307692308</v>
      </c>
      <c r="I18" s="36">
        <v>7</v>
      </c>
      <c r="J18" s="37">
        <f t="shared" si="1"/>
        <v>17.6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5">
        <v>1</v>
      </c>
      <c r="F19" s="34"/>
      <c r="G19" s="32" t="s">
        <v>31</v>
      </c>
      <c r="H19" s="35">
        <f t="shared" si="0"/>
        <v>0.01282051282051282</v>
      </c>
      <c r="I19" s="36">
        <v>8</v>
      </c>
      <c r="J19" s="37">
        <f t="shared" si="1"/>
        <v>0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35">
        <v>2439</v>
      </c>
      <c r="F20" s="34"/>
      <c r="G20" s="32" t="s">
        <v>31</v>
      </c>
      <c r="H20" s="35">
        <f t="shared" si="0"/>
        <v>31.26923076923077</v>
      </c>
      <c r="I20" s="36">
        <v>9</v>
      </c>
      <c r="J20" s="37">
        <f t="shared" si="1"/>
        <v>3.5</v>
      </c>
    </row>
    <row r="21" ht="27.95" customHeight="1" spans="1:10" x14ac:dyDescent="0.25">
      <c r="A21" s="40" t="s">
        <v>48</v>
      </c>
      <c r="B21" s="41" t="s">
        <v>49</v>
      </c>
      <c r="C21" s="42">
        <v>160</v>
      </c>
      <c r="D21" s="43"/>
      <c r="E21" s="23">
        <v>4995</v>
      </c>
      <c r="F21" s="43"/>
      <c r="G21" s="43" t="s">
        <v>31</v>
      </c>
      <c r="H21" s="23">
        <f t="shared" si="0"/>
        <v>31.21875</v>
      </c>
      <c r="I21" s="45">
        <v>46</v>
      </c>
      <c r="J21" s="46">
        <f t="shared" si="1"/>
        <v>0.7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5">
        <v>3486</v>
      </c>
      <c r="F22" s="32"/>
      <c r="G22" s="32" t="s">
        <v>31</v>
      </c>
      <c r="H22" s="35">
        <f t="shared" si="0"/>
        <v>21.7875</v>
      </c>
      <c r="I22" s="36">
        <v>6</v>
      </c>
      <c r="J22" s="37">
        <f t="shared" si="1"/>
        <v>3.6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5">
        <v>8377</v>
      </c>
      <c r="F23" s="32"/>
      <c r="G23" s="32" t="s">
        <v>31</v>
      </c>
      <c r="H23" s="35">
        <f t="shared" si="0"/>
        <v>52.35625</v>
      </c>
      <c r="I23" s="36">
        <v>20</v>
      </c>
      <c r="J23" s="37">
        <f t="shared" si="1"/>
        <v>2.6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5">
        <f>3992+15520</f>
        <v>19512</v>
      </c>
      <c r="F24" s="32"/>
      <c r="G24" s="47" t="s">
        <v>31</v>
      </c>
      <c r="H24" s="35">
        <f t="shared" si="0"/>
        <v>121.95</v>
      </c>
      <c r="I24" s="36">
        <v>20</v>
      </c>
      <c r="J24" s="37">
        <f t="shared" si="1"/>
        <v>6.1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5">
        <v>5775</v>
      </c>
      <c r="F25" s="32"/>
      <c r="G25" s="32" t="s">
        <v>31</v>
      </c>
      <c r="H25" s="35">
        <f t="shared" si="0"/>
        <v>36.09375</v>
      </c>
      <c r="I25" s="36">
        <v>4</v>
      </c>
      <c r="J25" s="37">
        <f t="shared" si="1"/>
        <v>9</v>
      </c>
      <c r="L25" s="28"/>
    </row>
    <row r="26" ht="27.95" customHeight="1" spans="1:10" x14ac:dyDescent="0.25">
      <c r="A26" s="48" t="s">
        <v>58</v>
      </c>
      <c r="B26" s="49" t="s">
        <v>59</v>
      </c>
      <c r="C26" s="50">
        <v>50</v>
      </c>
      <c r="D26" s="51"/>
      <c r="E26" s="52">
        <v>43759</v>
      </c>
      <c r="F26" s="51"/>
      <c r="G26" s="44" t="s">
        <v>16</v>
      </c>
      <c r="H26" s="23">
        <f t="shared" si="0"/>
        <v>875.18</v>
      </c>
      <c r="I26" s="45">
        <v>108</v>
      </c>
      <c r="J26" s="46">
        <f t="shared" si="1"/>
        <v>8.1</v>
      </c>
    </row>
    <row r="27" ht="27.95" customHeight="1" spans="1:10" x14ac:dyDescent="0.25">
      <c r="A27" s="53" t="s">
        <v>60</v>
      </c>
      <c r="B27" s="54" t="s">
        <v>61</v>
      </c>
      <c r="C27" s="55">
        <v>50</v>
      </c>
      <c r="D27" s="56"/>
      <c r="E27" s="35">
        <f>26044+10800</f>
        <v>36844</v>
      </c>
      <c r="F27" s="56"/>
      <c r="G27" s="34" t="s">
        <v>16</v>
      </c>
      <c r="H27" s="35">
        <f t="shared" si="0"/>
        <v>736.88</v>
      </c>
      <c r="I27" s="36">
        <v>130</v>
      </c>
      <c r="J27" s="37">
        <f t="shared" si="1"/>
        <v>5.7</v>
      </c>
    </row>
    <row r="28" ht="27.95" customHeight="1" spans="1:10" x14ac:dyDescent="0.25">
      <c r="A28" s="53" t="s">
        <v>62</v>
      </c>
      <c r="B28" s="54" t="s">
        <v>63</v>
      </c>
      <c r="C28" s="55">
        <v>50</v>
      </c>
      <c r="D28" s="56"/>
      <c r="E28" s="35">
        <v>2623</v>
      </c>
      <c r="F28" s="56"/>
      <c r="G28" s="34" t="s">
        <v>16</v>
      </c>
      <c r="H28" s="35">
        <f t="shared" si="0"/>
        <v>52.46</v>
      </c>
      <c r="I28" s="36">
        <v>46</v>
      </c>
      <c r="J28" s="37">
        <f t="shared" si="1"/>
        <v>1.1</v>
      </c>
    </row>
    <row r="29" ht="27.95" customHeight="1" spans="1:10" x14ac:dyDescent="0.25">
      <c r="A29" s="53" t="s">
        <v>64</v>
      </c>
      <c r="B29" s="54" t="s">
        <v>65</v>
      </c>
      <c r="C29" s="55">
        <v>50</v>
      </c>
      <c r="D29" s="56"/>
      <c r="E29" s="35">
        <v>2703</v>
      </c>
      <c r="F29" s="56"/>
      <c r="G29" s="34" t="s">
        <v>16</v>
      </c>
      <c r="H29" s="35">
        <f t="shared" si="0"/>
        <v>54.06</v>
      </c>
      <c r="I29" s="36">
        <v>80</v>
      </c>
      <c r="J29" s="37">
        <f t="shared" si="1"/>
        <v>0.7</v>
      </c>
    </row>
    <row r="30" ht="27.95" customHeight="1" spans="1:10" x14ac:dyDescent="0.25">
      <c r="A30" s="48" t="s">
        <v>66</v>
      </c>
      <c r="B30" s="49" t="s">
        <v>67</v>
      </c>
      <c r="C30" s="50">
        <v>160</v>
      </c>
      <c r="D30" s="51"/>
      <c r="E30" s="23">
        <v>2</v>
      </c>
      <c r="F30" s="51"/>
      <c r="G30" s="44" t="s">
        <v>31</v>
      </c>
      <c r="H30" s="23">
        <f t="shared" si="0"/>
        <v>0.0125</v>
      </c>
      <c r="I30" s="45">
        <v>15</v>
      </c>
      <c r="J30" s="46">
        <f t="shared" si="1"/>
        <v>0</v>
      </c>
    </row>
    <row r="31" ht="27.95" customHeight="1" spans="1:10" x14ac:dyDescent="0.25">
      <c r="A31" s="53" t="s">
        <v>68</v>
      </c>
      <c r="B31" s="54" t="s">
        <v>69</v>
      </c>
      <c r="C31" s="55">
        <v>160</v>
      </c>
      <c r="D31" s="56"/>
      <c r="E31" s="35">
        <v>14082</v>
      </c>
      <c r="F31" s="56"/>
      <c r="G31" s="34" t="s">
        <v>31</v>
      </c>
      <c r="H31" s="35">
        <f t="shared" si="0"/>
        <v>88.0125</v>
      </c>
      <c r="I31" s="36">
        <v>24</v>
      </c>
      <c r="J31" s="37">
        <f t="shared" si="1"/>
        <v>3.7</v>
      </c>
    </row>
    <row r="32" ht="27.95" customHeight="1" spans="1:10" x14ac:dyDescent="0.25">
      <c r="A32" s="53" t="s">
        <v>70</v>
      </c>
      <c r="B32" s="54" t="s">
        <v>71</v>
      </c>
      <c r="C32" s="55">
        <v>160</v>
      </c>
      <c r="D32" s="56"/>
      <c r="E32" s="35">
        <v>18506</v>
      </c>
      <c r="F32" s="56"/>
      <c r="G32" s="34" t="s">
        <v>31</v>
      </c>
      <c r="H32" s="35">
        <f t="shared" si="0"/>
        <v>115.6625</v>
      </c>
      <c r="I32" s="36">
        <v>21</v>
      </c>
      <c r="J32" s="37">
        <f t="shared" si="1"/>
        <v>5.5</v>
      </c>
    </row>
    <row r="33" ht="27.95" customHeight="1" spans="1:10" x14ac:dyDescent="0.25">
      <c r="A33" s="53" t="s">
        <v>72</v>
      </c>
      <c r="B33" s="54" t="s">
        <v>73</v>
      </c>
      <c r="C33" s="55">
        <v>160</v>
      </c>
      <c r="D33" s="56"/>
      <c r="E33" s="35">
        <v>5177</v>
      </c>
      <c r="F33" s="56"/>
      <c r="G33" s="34" t="s">
        <v>31</v>
      </c>
      <c r="H33" s="35">
        <f t="shared" si="0"/>
        <v>32.35625</v>
      </c>
      <c r="I33" s="36">
        <v>15</v>
      </c>
      <c r="J33" s="37">
        <f t="shared" si="1"/>
        <v>2.2</v>
      </c>
    </row>
    <row r="34" ht="27.95" customHeight="1" spans="1:10" x14ac:dyDescent="0.25">
      <c r="A34" s="48" t="s">
        <v>74</v>
      </c>
      <c r="B34" s="49" t="s">
        <v>75</v>
      </c>
      <c r="C34" s="50">
        <v>70</v>
      </c>
      <c r="D34" s="51"/>
      <c r="E34" s="23">
        <v>0</v>
      </c>
      <c r="F34" s="51"/>
      <c r="G34" s="44" t="s">
        <v>16</v>
      </c>
      <c r="H34" s="23">
        <f t="shared" si="0"/>
        <v>0</v>
      </c>
      <c r="I34" s="45">
        <v>0</v>
      </c>
      <c r="J34" s="46">
        <f t="shared" si="1"/>
        <v>0</v>
      </c>
    </row>
    <row r="35" ht="27.95" customHeight="1" spans="1:10" x14ac:dyDescent="0.25">
      <c r="A35" s="53" t="s">
        <v>76</v>
      </c>
      <c r="B35" s="54" t="s">
        <v>77</v>
      </c>
      <c r="C35" s="55">
        <v>50</v>
      </c>
      <c r="D35" s="56"/>
      <c r="E35" s="35">
        <v>0</v>
      </c>
      <c r="F35" s="56"/>
      <c r="G35" s="34" t="s">
        <v>16</v>
      </c>
      <c r="H35" s="35">
        <f t="shared" si="0"/>
        <v>0</v>
      </c>
      <c r="I35" s="36">
        <v>1</v>
      </c>
      <c r="J35" s="37">
        <f t="shared" si="1"/>
        <v>0</v>
      </c>
    </row>
    <row r="36" ht="27.95" customHeight="1" spans="1:10" x14ac:dyDescent="0.25">
      <c r="A36" s="53" t="s">
        <v>78</v>
      </c>
      <c r="B36" s="54" t="s">
        <v>79</v>
      </c>
      <c r="C36" s="55">
        <v>160</v>
      </c>
      <c r="D36" s="56"/>
      <c r="E36" s="33">
        <f>363-1</f>
        <v>362</v>
      </c>
      <c r="F36" s="56"/>
      <c r="G36" s="34" t="s">
        <v>31</v>
      </c>
      <c r="H36" s="35">
        <f t="shared" si="0"/>
        <v>2.2625</v>
      </c>
      <c r="I36" s="36">
        <v>1</v>
      </c>
      <c r="J36" s="37">
        <f t="shared" si="1"/>
        <v>2.3</v>
      </c>
    </row>
    <row r="37" ht="27.95" customHeight="1" spans="1:10" x14ac:dyDescent="0.25">
      <c r="A37" s="53" t="s">
        <v>80</v>
      </c>
      <c r="B37" s="54" t="s">
        <v>81</v>
      </c>
      <c r="C37" s="55">
        <v>160</v>
      </c>
      <c r="D37" s="56"/>
      <c r="E37" s="35">
        <v>0</v>
      </c>
      <c r="F37" s="56"/>
      <c r="G37" s="34" t="s">
        <v>31</v>
      </c>
      <c r="H37" s="35">
        <f t="shared" si="0"/>
        <v>0</v>
      </c>
      <c r="I37" s="36">
        <v>0</v>
      </c>
      <c r="J37" s="37">
        <f t="shared" si="1"/>
        <v>0</v>
      </c>
    </row>
    <row r="38" ht="27.95" customHeight="1" spans="1:10" x14ac:dyDescent="0.25">
      <c r="A38" s="57" t="s">
        <v>82</v>
      </c>
      <c r="B38" s="58" t="s">
        <v>83</v>
      </c>
      <c r="C38" s="59">
        <v>84</v>
      </c>
      <c r="D38" s="60"/>
      <c r="E38" s="61">
        <f>3191-2</f>
        <v>3189</v>
      </c>
      <c r="F38" s="60"/>
      <c r="G38" s="62" t="s">
        <v>16</v>
      </c>
      <c r="H38" s="35">
        <f t="shared" si="0"/>
        <v>37.964285714285715</v>
      </c>
      <c r="I38" s="36">
        <v>0</v>
      </c>
      <c r="J38" s="37">
        <f t="shared" si="1"/>
        <v>0</v>
      </c>
    </row>
    <row r="39" ht="27.95" customHeight="1" spans="1:10" x14ac:dyDescent="0.25">
      <c r="A39" s="57" t="s">
        <v>84</v>
      </c>
      <c r="B39" s="58" t="s">
        <v>85</v>
      </c>
      <c r="C39" s="59">
        <v>50</v>
      </c>
      <c r="D39" s="60"/>
      <c r="E39" s="63">
        <v>1715</v>
      </c>
      <c r="F39" s="60"/>
      <c r="G39" s="62" t="s">
        <v>16</v>
      </c>
      <c r="H39" s="35">
        <f t="shared" si="0"/>
        <v>34.3</v>
      </c>
      <c r="I39" s="36">
        <v>14</v>
      </c>
      <c r="J39" s="37">
        <f t="shared" si="1"/>
        <v>2.5</v>
      </c>
    </row>
    <row r="40" ht="27.95" customHeight="1" spans="1:10" x14ac:dyDescent="0.25">
      <c r="A40" s="57" t="s">
        <v>86</v>
      </c>
      <c r="B40" s="58" t="s">
        <v>87</v>
      </c>
      <c r="C40" s="59">
        <v>136</v>
      </c>
      <c r="D40" s="60"/>
      <c r="E40" s="64">
        <f>11040+1</f>
        <v>11041</v>
      </c>
      <c r="F40" s="60"/>
      <c r="G40" s="62" t="s">
        <v>16</v>
      </c>
      <c r="H40" s="35">
        <f t="shared" si="0"/>
        <v>81.18382352941177</v>
      </c>
      <c r="I40" s="36">
        <v>27</v>
      </c>
      <c r="J40" s="37">
        <f t="shared" si="1"/>
        <v>3</v>
      </c>
    </row>
    <row r="41" ht="27.95" customHeight="1" spans="1:10" x14ac:dyDescent="0.25">
      <c r="A41" s="65" t="s">
        <v>88</v>
      </c>
      <c r="B41" s="66" t="s">
        <v>89</v>
      </c>
      <c r="C41" s="67">
        <v>160</v>
      </c>
      <c r="D41" s="68"/>
      <c r="E41" s="35">
        <v>6683</v>
      </c>
      <c r="F41" s="68"/>
      <c r="G41" s="69" t="s">
        <v>16</v>
      </c>
      <c r="H41" s="70">
        <f t="shared" si="0"/>
        <v>41.76875</v>
      </c>
      <c r="I41" s="36">
        <v>2</v>
      </c>
      <c r="J41" s="37">
        <f t="shared" si="1"/>
        <v>20.9</v>
      </c>
    </row>
    <row r="42" ht="27.95" customHeight="1" spans="1:10" x14ac:dyDescent="0.25">
      <c r="A42" s="65" t="s">
        <v>90</v>
      </c>
      <c r="B42" s="66" t="s">
        <v>91</v>
      </c>
      <c r="C42" s="67">
        <v>160</v>
      </c>
      <c r="D42" s="68"/>
      <c r="E42" s="70">
        <v>2257</v>
      </c>
      <c r="F42" s="68"/>
      <c r="G42" s="69" t="s">
        <v>16</v>
      </c>
      <c r="H42" s="70">
        <f t="shared" si="0"/>
        <v>14.10625</v>
      </c>
      <c r="I42" s="36">
        <v>0</v>
      </c>
      <c r="J42" s="37">
        <f t="shared" si="1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v>0</v>
      </c>
      <c r="F43" s="74"/>
      <c r="G43" s="76" t="s">
        <v>16</v>
      </c>
      <c r="H43" s="77">
        <f t="shared" si="0"/>
        <v>0</v>
      </c>
      <c r="I43" s="78">
        <v>0</v>
      </c>
      <c r="J43" s="79">
        <f t="shared" si="1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454196</v>
      </c>
      <c r="F45" s="82"/>
      <c r="G45" s="82"/>
      <c r="H45" s="84">
        <f>SUM(H5:H44)</f>
        <v>5740.490609243697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62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Existencia Sistema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2026-09-15T12:25:38Z</cp:lastPrinted>
  <dcterms:created xsi:type="dcterms:W3CDTF">2014-09-02T11:57:04Z</dcterms:created>
  <dcterms:modified xsi:type="dcterms:W3CDTF">2026-09-15T12:25:42Z</dcterms:modified>
</cp:coreProperties>
</file>