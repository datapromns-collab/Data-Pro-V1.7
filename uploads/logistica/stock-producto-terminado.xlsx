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Sistema'!$A1:$J45</definedName>
  </definedNames>
  <calcPr calcId="171027"/>
</workbook>
</file>

<file path=xl/sharedStrings.xml><?xml version="1.0" encoding="utf-8"?>
<sst xmlns="http://schemas.openxmlformats.org/spreadsheetml/2006/main" count="131" uniqueCount="94">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</sst>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family val="2"/>
      <scheme val="minor"/>
      <sz val="11"/>
      <name val="Calibri"/>
    </font>
    <font>
      <b/>
      <family val="2"/>
      <scheme val="minor"/>
      <sz val="18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7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3" borderId="14" xfId="0" applyNumberFormat="1" applyFont="1" applyFill="1" applyBorder="1"/>
    <xf numFmtId="3" fontId="0" fillId="0" borderId="14" xfId="0" applyNumberFormat="1" applyBorder="1"/>
    <xf numFmtId="3" fontId="7" fillId="0" borderId="14" xfId="0" applyNumberFormat="1" applyFon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0" fontId="8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9" fillId="3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4" borderId="14" xfId="0" applyNumberFormat="1" applyFont="1" applyFill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9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9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0" fontId="0" fillId="0" borderId="0" xfId="0" applyAlignment="1">
      <alignment vertical="top"/>
    </xf>
    <xf numFmtId="3" fontId="15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4"/>
  <sheetViews>
    <sheetView workbookViewId="0" zoomScale="80" zoomScaleNormal="80">
      <selection activeCell="C1" sqref="C1"/>
    </sheetView>
  </sheetViews>
  <sheetFormatPr defaultRowHeight="15" outlineLevelRow="0" outlineLevelCol="0" x14ac:dyDescent="0.25"/>
  <cols>
    <col min="1" max="1" width="17.140625" customWidth="1"/>
    <col min="2" max="2" width="51.5703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46276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1342+14000+18000</f>
        <v>33342</v>
      </c>
      <c r="F5" s="24"/>
      <c r="G5" s="24" t="s">
        <v>16</v>
      </c>
      <c r="H5" s="25">
        <f>+E5/C5</f>
        <v>416.775</v>
      </c>
      <c r="I5" s="26">
        <v>804</v>
      </c>
      <c r="J5" s="27">
        <f t="shared" ref="J5:J43" si="0">IFERROR(ROUND((+H5/I5),1),0)</f>
        <v>0.5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17597-2</f>
        <v>17595</v>
      </c>
      <c r="F6" s="34"/>
      <c r="G6" s="34" t="s">
        <v>16</v>
      </c>
      <c r="H6" s="35">
        <f t="shared" ref="H6:H41" si="1">+E6/C6</f>
        <v>219.9375</v>
      </c>
      <c r="I6" s="36">
        <v>111</v>
      </c>
      <c r="J6" s="37">
        <f t="shared" si="0"/>
        <v>2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5">
        <f>20652+18800</f>
        <v>39452</v>
      </c>
      <c r="F7" s="34"/>
      <c r="G7" s="34" t="s">
        <v>16</v>
      </c>
      <c r="H7" s="35">
        <f t="shared" si="1"/>
        <v>493.15</v>
      </c>
      <c r="I7" s="36">
        <v>240</v>
      </c>
      <c r="J7" s="37">
        <f t="shared" si="0"/>
        <v>2.1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5">
        <v>7354</v>
      </c>
      <c r="F8" s="34"/>
      <c r="G8" s="34" t="s">
        <v>16</v>
      </c>
      <c r="H8" s="35">
        <f t="shared" si="1"/>
        <v>91.925</v>
      </c>
      <c r="I8" s="36">
        <v>83</v>
      </c>
      <c r="J8" s="37">
        <f t="shared" si="0"/>
        <v>1.1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5">
        <v>0</v>
      </c>
      <c r="F9" s="34"/>
      <c r="G9" s="34" t="s">
        <v>16</v>
      </c>
      <c r="H9" s="35">
        <f t="shared" si="1"/>
        <v>0</v>
      </c>
      <c r="I9" s="36">
        <v>86</v>
      </c>
      <c r="J9" s="37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5">
        <f>23647+18720</f>
        <v>42367</v>
      </c>
      <c r="F10" s="34"/>
      <c r="G10" s="34" t="s">
        <v>16</v>
      </c>
      <c r="H10" s="35">
        <f t="shared" si="1"/>
        <v>529.5875</v>
      </c>
      <c r="I10" s="36">
        <v>261</v>
      </c>
      <c r="J10" s="37">
        <f t="shared" si="0"/>
        <v>2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5">
        <v>7248</v>
      </c>
      <c r="F11" s="34"/>
      <c r="G11" s="34" t="s">
        <v>16</v>
      </c>
      <c r="H11" s="35">
        <f t="shared" si="1"/>
        <v>90.6</v>
      </c>
      <c r="I11" s="36">
        <v>6</v>
      </c>
      <c r="J11" s="37">
        <f t="shared" si="0"/>
        <v>15.1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35">
        <f>20614+6047</f>
        <v>26661</v>
      </c>
      <c r="F12" s="32"/>
      <c r="G12" s="32" t="s">
        <v>31</v>
      </c>
      <c r="H12" s="35">
        <f t="shared" si="1"/>
        <v>333.2625</v>
      </c>
      <c r="I12" s="36">
        <v>60</v>
      </c>
      <c r="J12" s="37">
        <f t="shared" si="0"/>
        <v>5.6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5">
        <v>1993</v>
      </c>
      <c r="F13" s="32"/>
      <c r="G13" s="32" t="s">
        <v>31</v>
      </c>
      <c r="H13" s="35">
        <f t="shared" si="1"/>
        <v>24.9125</v>
      </c>
      <c r="I13" s="36">
        <v>6</v>
      </c>
      <c r="J13" s="37">
        <f t="shared" si="0"/>
        <v>4.2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f>8438+13018</f>
        <v>21456</v>
      </c>
      <c r="F14" s="44"/>
      <c r="G14" s="44" t="s">
        <v>31</v>
      </c>
      <c r="H14" s="23">
        <f t="shared" si="1"/>
        <v>275.0769230769231</v>
      </c>
      <c r="I14" s="45">
        <v>118</v>
      </c>
      <c r="J14" s="46">
        <f t="shared" si="0"/>
        <v>2.3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35">
        <v>2233</v>
      </c>
      <c r="F15" s="34"/>
      <c r="G15" s="34" t="s">
        <v>31</v>
      </c>
      <c r="H15" s="35">
        <f t="shared" si="1"/>
        <v>28.628205128205128</v>
      </c>
      <c r="I15" s="36">
        <v>14</v>
      </c>
      <c r="J15" s="37">
        <f t="shared" si="0"/>
        <v>2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5">
        <v>20178</v>
      </c>
      <c r="F16" s="34"/>
      <c r="G16" s="34" t="s">
        <v>31</v>
      </c>
      <c r="H16" s="35">
        <f t="shared" si="1"/>
        <v>258.6923076923077</v>
      </c>
      <c r="I16" s="36">
        <v>49</v>
      </c>
      <c r="J16" s="37">
        <f t="shared" si="0"/>
        <v>5.3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5">
        <v>460</v>
      </c>
      <c r="F17" s="34"/>
      <c r="G17" s="34" t="s">
        <v>31</v>
      </c>
      <c r="H17" s="35">
        <f t="shared" si="1"/>
        <v>5.897435897435898</v>
      </c>
      <c r="I17" s="36">
        <v>45</v>
      </c>
      <c r="J17" s="37">
        <f t="shared" si="0"/>
        <v>0.1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5">
        <v>2012</v>
      </c>
      <c r="F18" s="34"/>
      <c r="G18" s="32" t="s">
        <v>31</v>
      </c>
      <c r="H18" s="35">
        <f t="shared" si="1"/>
        <v>25.794871794871796</v>
      </c>
      <c r="I18" s="36">
        <v>7</v>
      </c>
      <c r="J18" s="37">
        <f t="shared" si="0"/>
        <v>3.7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5">
        <v>1</v>
      </c>
      <c r="F19" s="34"/>
      <c r="G19" s="32" t="s">
        <v>31</v>
      </c>
      <c r="H19" s="35">
        <f t="shared" si="1"/>
        <v>0.01282051282051282</v>
      </c>
      <c r="I19" s="36">
        <v>8</v>
      </c>
      <c r="J19" s="37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35">
        <v>4784</v>
      </c>
      <c r="F20" s="34"/>
      <c r="G20" s="32" t="s">
        <v>31</v>
      </c>
      <c r="H20" s="35">
        <f t="shared" si="1"/>
        <v>61.333333333333336</v>
      </c>
      <c r="I20" s="36">
        <v>9</v>
      </c>
      <c r="J20" s="37">
        <f t="shared" si="0"/>
        <v>6.8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f>154+8960</f>
        <v>9114</v>
      </c>
      <c r="F21" s="43"/>
      <c r="G21" s="43" t="s">
        <v>31</v>
      </c>
      <c r="H21" s="23">
        <f t="shared" si="1"/>
        <v>56.9625</v>
      </c>
      <c r="I21" s="45">
        <v>46</v>
      </c>
      <c r="J21" s="46">
        <f t="shared" si="0"/>
        <v>1.2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5">
        <v>7103</v>
      </c>
      <c r="F22" s="32"/>
      <c r="G22" s="32" t="s">
        <v>31</v>
      </c>
      <c r="H22" s="35">
        <f t="shared" si="1"/>
        <v>44.39375</v>
      </c>
      <c r="I22" s="36">
        <v>6</v>
      </c>
      <c r="J22" s="37">
        <f t="shared" si="0"/>
        <v>7.4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5">
        <f>16626+1080</f>
        <v>17706</v>
      </c>
      <c r="F23" s="32"/>
      <c r="G23" s="32" t="s">
        <v>31</v>
      </c>
      <c r="H23" s="35">
        <f t="shared" si="1"/>
        <v>110.6625</v>
      </c>
      <c r="I23" s="36">
        <v>20</v>
      </c>
      <c r="J23" s="37">
        <f t="shared" si="0"/>
        <v>5.5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5">
        <v>9077</v>
      </c>
      <c r="F24" s="32"/>
      <c r="G24" s="47" t="s">
        <v>31</v>
      </c>
      <c r="H24" s="35">
        <f t="shared" si="1"/>
        <v>56.73125</v>
      </c>
      <c r="I24" s="36">
        <v>20</v>
      </c>
      <c r="J24" s="37">
        <f t="shared" si="0"/>
        <v>2.8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5">
        <v>7794</v>
      </c>
      <c r="F25" s="32"/>
      <c r="G25" s="32" t="s">
        <v>31</v>
      </c>
      <c r="H25" s="35">
        <f t="shared" si="1"/>
        <v>48.7125</v>
      </c>
      <c r="I25" s="36">
        <v>4</v>
      </c>
      <c r="J25" s="37">
        <f t="shared" si="0"/>
        <v>12.2</v>
      </c>
      <c r="L25" s="28"/>
    </row>
    <row r="26" ht="27.95" customHeight="1" spans="1:10" x14ac:dyDescent="0.25">
      <c r="A26" s="48" t="s">
        <v>58</v>
      </c>
      <c r="B26" s="49" t="s">
        <v>59</v>
      </c>
      <c r="C26" s="50">
        <v>50</v>
      </c>
      <c r="D26" s="51"/>
      <c r="E26" s="52">
        <f>26153-1+11900</f>
        <v>38052</v>
      </c>
      <c r="F26" s="51"/>
      <c r="G26" s="44" t="s">
        <v>16</v>
      </c>
      <c r="H26" s="23">
        <f t="shared" si="1"/>
        <v>761.04</v>
      </c>
      <c r="I26" s="45">
        <v>108</v>
      </c>
      <c r="J26" s="46">
        <f t="shared" si="0"/>
        <v>7</v>
      </c>
    </row>
    <row r="27" ht="27.95" customHeight="1" spans="1:10" x14ac:dyDescent="0.25">
      <c r="A27" s="53" t="s">
        <v>60</v>
      </c>
      <c r="B27" s="54" t="s">
        <v>61</v>
      </c>
      <c r="C27" s="55">
        <v>50</v>
      </c>
      <c r="D27" s="56"/>
      <c r="E27" s="35">
        <v>37849</v>
      </c>
      <c r="F27" s="56"/>
      <c r="G27" s="34" t="s">
        <v>16</v>
      </c>
      <c r="H27" s="35">
        <f t="shared" si="1"/>
        <v>756.98</v>
      </c>
      <c r="I27" s="36">
        <v>130</v>
      </c>
      <c r="J27" s="37">
        <f t="shared" si="0"/>
        <v>5.8</v>
      </c>
    </row>
    <row r="28" ht="27.95" customHeight="1" spans="1:10" x14ac:dyDescent="0.25">
      <c r="A28" s="53" t="s">
        <v>62</v>
      </c>
      <c r="B28" s="54" t="s">
        <v>63</v>
      </c>
      <c r="C28" s="55">
        <v>50</v>
      </c>
      <c r="D28" s="56"/>
      <c r="E28" s="35">
        <v>33</v>
      </c>
      <c r="F28" s="56"/>
      <c r="G28" s="34" t="s">
        <v>16</v>
      </c>
      <c r="H28" s="35">
        <f t="shared" si="1"/>
        <v>0.66</v>
      </c>
      <c r="I28" s="36">
        <v>46</v>
      </c>
      <c r="J28" s="37">
        <f t="shared" si="0"/>
        <v>0</v>
      </c>
    </row>
    <row r="29" ht="27.95" customHeight="1" spans="1:10" x14ac:dyDescent="0.25">
      <c r="A29" s="53" t="s">
        <v>64</v>
      </c>
      <c r="B29" s="54" t="s">
        <v>65</v>
      </c>
      <c r="C29" s="55">
        <v>50</v>
      </c>
      <c r="D29" s="56"/>
      <c r="E29" s="35">
        <v>38</v>
      </c>
      <c r="F29" s="56"/>
      <c r="G29" s="34" t="s">
        <v>16</v>
      </c>
      <c r="H29" s="35">
        <f t="shared" si="1"/>
        <v>0.76</v>
      </c>
      <c r="I29" s="36">
        <v>80</v>
      </c>
      <c r="J29" s="37">
        <f t="shared" si="0"/>
        <v>0</v>
      </c>
    </row>
    <row r="30" ht="27.95" customHeight="1" spans="1:10" x14ac:dyDescent="0.25">
      <c r="A30" s="48" t="s">
        <v>66</v>
      </c>
      <c r="B30" s="49" t="s">
        <v>67</v>
      </c>
      <c r="C30" s="50">
        <v>160</v>
      </c>
      <c r="D30" s="51"/>
      <c r="E30" s="23">
        <v>5452</v>
      </c>
      <c r="F30" s="51"/>
      <c r="G30" s="44" t="s">
        <v>31</v>
      </c>
      <c r="H30" s="23">
        <f t="shared" si="1"/>
        <v>34.075</v>
      </c>
      <c r="I30" s="45">
        <v>15</v>
      </c>
      <c r="J30" s="46">
        <f t="shared" si="0"/>
        <v>2.3</v>
      </c>
    </row>
    <row r="31" ht="27.95" customHeight="1" spans="1:10" x14ac:dyDescent="0.25">
      <c r="A31" s="53" t="s">
        <v>68</v>
      </c>
      <c r="B31" s="54" t="s">
        <v>69</v>
      </c>
      <c r="C31" s="55">
        <v>160</v>
      </c>
      <c r="D31" s="56"/>
      <c r="E31" s="35">
        <v>122</v>
      </c>
      <c r="F31" s="56"/>
      <c r="G31" s="34" t="s">
        <v>31</v>
      </c>
      <c r="H31" s="35">
        <f t="shared" si="1"/>
        <v>0.7625</v>
      </c>
      <c r="I31" s="36">
        <v>24</v>
      </c>
      <c r="J31" s="37">
        <f t="shared" si="0"/>
        <v>0</v>
      </c>
    </row>
    <row r="32" ht="27.95" customHeight="1" spans="1:10" x14ac:dyDescent="0.25">
      <c r="A32" s="53" t="s">
        <v>70</v>
      </c>
      <c r="B32" s="54" t="s">
        <v>71</v>
      </c>
      <c r="C32" s="55">
        <v>160</v>
      </c>
      <c r="D32" s="56"/>
      <c r="E32" s="35">
        <v>6256</v>
      </c>
      <c r="F32" s="56"/>
      <c r="G32" s="34" t="s">
        <v>31</v>
      </c>
      <c r="H32" s="35">
        <f t="shared" si="1"/>
        <v>39.1</v>
      </c>
      <c r="I32" s="36">
        <v>21</v>
      </c>
      <c r="J32" s="37">
        <f t="shared" si="0"/>
        <v>1.9</v>
      </c>
    </row>
    <row r="33" ht="27.95" customHeight="1" spans="1:10" x14ac:dyDescent="0.25">
      <c r="A33" s="53" t="s">
        <v>72</v>
      </c>
      <c r="B33" s="54" t="s">
        <v>73</v>
      </c>
      <c r="C33" s="55">
        <v>160</v>
      </c>
      <c r="D33" s="56"/>
      <c r="E33" s="35">
        <v>8792</v>
      </c>
      <c r="F33" s="56"/>
      <c r="G33" s="34" t="s">
        <v>31</v>
      </c>
      <c r="H33" s="35">
        <f t="shared" si="1"/>
        <v>54.95</v>
      </c>
      <c r="I33" s="36">
        <v>15</v>
      </c>
      <c r="J33" s="37">
        <f t="shared" si="0"/>
        <v>3.7</v>
      </c>
    </row>
    <row r="34" ht="27.95" customHeight="1" spans="1:10" x14ac:dyDescent="0.25">
      <c r="A34" s="48" t="s">
        <v>74</v>
      </c>
      <c r="B34" s="49" t="s">
        <v>75</v>
      </c>
      <c r="C34" s="50">
        <v>70</v>
      </c>
      <c r="D34" s="51"/>
      <c r="E34" s="23">
        <v>0</v>
      </c>
      <c r="F34" s="51"/>
      <c r="G34" s="44" t="s">
        <v>16</v>
      </c>
      <c r="H34" s="23">
        <f t="shared" si="1"/>
        <v>0</v>
      </c>
      <c r="I34" s="45">
        <v>0</v>
      </c>
      <c r="J34" s="46">
        <f t="shared" si="0"/>
        <v>0</v>
      </c>
    </row>
    <row r="35" ht="27.95" customHeight="1" spans="1:10" x14ac:dyDescent="0.25">
      <c r="A35" s="53" t="s">
        <v>76</v>
      </c>
      <c r="B35" s="54" t="s">
        <v>77</v>
      </c>
      <c r="C35" s="55">
        <v>50</v>
      </c>
      <c r="D35" s="56"/>
      <c r="E35" s="35">
        <v>0</v>
      </c>
      <c r="F35" s="56"/>
      <c r="G35" s="34" t="s">
        <v>16</v>
      </c>
      <c r="H35" s="35">
        <f t="shared" si="1"/>
        <v>0</v>
      </c>
      <c r="I35" s="36">
        <v>1</v>
      </c>
      <c r="J35" s="37">
        <f t="shared" si="0"/>
        <v>0</v>
      </c>
    </row>
    <row r="36" ht="27.95" customHeight="1" spans="1:10" x14ac:dyDescent="0.25">
      <c r="A36" s="53" t="s">
        <v>78</v>
      </c>
      <c r="B36" s="54" t="s">
        <v>79</v>
      </c>
      <c r="C36" s="55">
        <v>160</v>
      </c>
      <c r="D36" s="56"/>
      <c r="E36" s="35">
        <v>561</v>
      </c>
      <c r="F36" s="56"/>
      <c r="G36" s="34" t="s">
        <v>31</v>
      </c>
      <c r="H36" s="35">
        <f t="shared" si="1"/>
        <v>3.50625</v>
      </c>
      <c r="I36" s="36">
        <v>1</v>
      </c>
      <c r="J36" s="37">
        <f t="shared" si="0"/>
        <v>3.5</v>
      </c>
    </row>
    <row r="37" ht="27.95" customHeight="1" spans="1:10" x14ac:dyDescent="0.25">
      <c r="A37" s="53" t="s">
        <v>80</v>
      </c>
      <c r="B37" s="54" t="s">
        <v>81</v>
      </c>
      <c r="C37" s="55">
        <v>160</v>
      </c>
      <c r="D37" s="56"/>
      <c r="E37" s="35">
        <v>0</v>
      </c>
      <c r="F37" s="56"/>
      <c r="G37" s="34" t="s">
        <v>31</v>
      </c>
      <c r="H37" s="35">
        <f t="shared" si="1"/>
        <v>0</v>
      </c>
      <c r="I37" s="36">
        <v>0</v>
      </c>
      <c r="J37" s="37">
        <f t="shared" si="0"/>
        <v>0</v>
      </c>
    </row>
    <row r="38" ht="27.95" customHeight="1" spans="1:10" x14ac:dyDescent="0.25">
      <c r="A38" s="57" t="s">
        <v>82</v>
      </c>
      <c r="B38" s="58" t="s">
        <v>83</v>
      </c>
      <c r="C38" s="59">
        <v>84</v>
      </c>
      <c r="D38" s="60"/>
      <c r="E38" s="61">
        <v>65</v>
      </c>
      <c r="F38" s="60"/>
      <c r="G38" s="62" t="s">
        <v>16</v>
      </c>
      <c r="H38" s="35">
        <f t="shared" si="1"/>
        <v>0.7738095238095238</v>
      </c>
      <c r="I38" s="36">
        <v>0</v>
      </c>
      <c r="J38" s="37">
        <f t="shared" si="0"/>
        <v>0</v>
      </c>
    </row>
    <row r="39" ht="27.95" customHeight="1" spans="1:10" x14ac:dyDescent="0.25">
      <c r="A39" s="57" t="s">
        <v>84</v>
      </c>
      <c r="B39" s="58" t="s">
        <v>85</v>
      </c>
      <c r="C39" s="59">
        <v>50</v>
      </c>
      <c r="D39" s="60"/>
      <c r="E39" s="63">
        <v>32</v>
      </c>
      <c r="F39" s="60"/>
      <c r="G39" s="62" t="s">
        <v>16</v>
      </c>
      <c r="H39" s="35">
        <f t="shared" si="1"/>
        <v>0.64</v>
      </c>
      <c r="I39" s="36">
        <v>14</v>
      </c>
      <c r="J39" s="37">
        <f t="shared" si="0"/>
        <v>0</v>
      </c>
    </row>
    <row r="40" ht="27.95" customHeight="1" spans="1:10" x14ac:dyDescent="0.25">
      <c r="A40" s="57" t="s">
        <v>86</v>
      </c>
      <c r="B40" s="58" t="s">
        <v>87</v>
      </c>
      <c r="C40" s="59">
        <v>136</v>
      </c>
      <c r="D40" s="60"/>
      <c r="E40" s="64">
        <v>6545</v>
      </c>
      <c r="F40" s="60"/>
      <c r="G40" s="62" t="s">
        <v>16</v>
      </c>
      <c r="H40" s="35">
        <f t="shared" si="1"/>
        <v>48.125</v>
      </c>
      <c r="I40" s="36">
        <v>27</v>
      </c>
      <c r="J40" s="37">
        <f t="shared" si="0"/>
        <v>1.8</v>
      </c>
    </row>
    <row r="41" ht="27.95" customHeight="1" spans="1:10" x14ac:dyDescent="0.25">
      <c r="A41" s="65" t="s">
        <v>88</v>
      </c>
      <c r="B41" s="66" t="s">
        <v>89</v>
      </c>
      <c r="C41" s="67">
        <v>160</v>
      </c>
      <c r="D41" s="68"/>
      <c r="E41" s="35">
        <v>1</v>
      </c>
      <c r="F41" s="68"/>
      <c r="G41" s="69" t="s">
        <v>16</v>
      </c>
      <c r="H41" s="70">
        <f t="shared" si="1"/>
        <v>0.00625</v>
      </c>
      <c r="I41" s="36">
        <v>2</v>
      </c>
      <c r="J41" s="37">
        <f t="shared" si="0"/>
        <v>0</v>
      </c>
    </row>
    <row r="42" ht="27.95" customHeight="1" spans="1:10" x14ac:dyDescent="0.25">
      <c r="A42" s="65" t="s">
        <v>90</v>
      </c>
      <c r="B42" s="66" t="s">
        <v>91</v>
      </c>
      <c r="C42" s="67">
        <v>160</v>
      </c>
      <c r="D42" s="68"/>
      <c r="E42" s="70">
        <v>2416</v>
      </c>
      <c r="F42" s="68"/>
      <c r="G42" s="69" t="s">
        <v>16</v>
      </c>
      <c r="H42" s="70">
        <f>+E42/C42</f>
        <v>15.1</v>
      </c>
      <c r="I42" s="36">
        <v>0</v>
      </c>
      <c r="J42" s="37">
        <f t="shared" si="0"/>
        <v>0</v>
      </c>
    </row>
    <row r="43" ht="24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23.25" customHeight="1" spans="1:8" x14ac:dyDescent="0.25">
      <c r="A44" s="80"/>
      <c r="B44" s="80"/>
      <c r="C44" s="80"/>
      <c r="D44" s="80"/>
      <c r="E44" s="81">
        <f>SUM(E5:E43)</f>
        <v>384144</v>
      </c>
      <c r="F44" s="80"/>
      <c r="G44" s="80"/>
      <c r="H44" s="82">
        <f>SUM(H5:H43)</f>
        <v>4889.527206959707</v>
      </c>
    </row>
    <row r="45" ht="15" customHeight="1" spans="1:8" x14ac:dyDescent="0.25">
      <c r="A45" s="83"/>
      <c r="B45" s="83"/>
      <c r="E45" s="28"/>
      <c r="F45" s="28"/>
      <c r="G45" s="28"/>
      <c r="H45" s="84"/>
    </row>
    <row r="46" ht="21" customHeight="1" spans="1:8" x14ac:dyDescent="0.25">
      <c r="A46" s="83"/>
      <c r="B46" s="83"/>
      <c r="E46" s="28"/>
      <c r="F46" s="28"/>
      <c r="G46" s="28"/>
      <c r="H46" s="84"/>
    </row>
    <row r="47" ht="21" customHeight="1" spans="5:8" x14ac:dyDescent="0.25">
      <c r="E47" s="28"/>
      <c r="F47" s="28"/>
      <c r="G47" s="28"/>
      <c r="H47" s="84"/>
    </row>
    <row r="48" ht="21" customHeight="1" spans="5:8" x14ac:dyDescent="0.25">
      <c r="E48" s="28"/>
      <c r="F48" s="28"/>
      <c r="G48" s="28"/>
      <c r="H48" s="84"/>
    </row>
    <row r="49" ht="21" customHeight="1" spans="5:8" x14ac:dyDescent="0.25">
      <c r="E49" s="28"/>
      <c r="F49" s="28"/>
      <c r="G49" s="28"/>
      <c r="H49" s="84"/>
    </row>
    <row r="50" ht="21" customHeight="1" spans="5:8" x14ac:dyDescent="0.25">
      <c r="E50" s="28"/>
      <c r="F50" s="28"/>
      <c r="G50" s="28"/>
      <c r="H50" s="84"/>
    </row>
    <row r="51" ht="21" customHeight="1" spans="5:8" x14ac:dyDescent="0.25">
      <c r="E51" s="28"/>
      <c r="F51" s="28"/>
      <c r="G51" s="28"/>
      <c r="H51" s="84"/>
    </row>
    <row r="52" ht="21" customHeight="1" spans="5:8" x14ac:dyDescent="0.25">
      <c r="E52" s="28"/>
      <c r="F52" s="28"/>
      <c r="G52" s="28"/>
      <c r="H52" s="84"/>
    </row>
    <row r="53" ht="21" customHeight="1" spans="5:8" x14ac:dyDescent="0.25">
      <c r="E53" s="28"/>
      <c r="F53" s="28"/>
      <c r="G53" s="28"/>
      <c r="H53" s="84"/>
    </row>
    <row r="54" ht="21" customHeight="1" spans="5:8" x14ac:dyDescent="0.25">
      <c r="E54" s="28"/>
      <c r="F54" s="28"/>
      <c r="G54" s="28"/>
      <c r="H54" s="84"/>
    </row>
    <row r="55" ht="21" customHeight="1" spans="5:8" x14ac:dyDescent="0.25">
      <c r="E55" s="28"/>
      <c r="F55" s="28"/>
      <c r="G55" s="28"/>
      <c r="H55" s="84"/>
    </row>
    <row r="56" ht="21" customHeight="1" spans="5:8" x14ac:dyDescent="0.25">
      <c r="E56" s="85"/>
      <c r="F56" s="28"/>
      <c r="G56" s="28"/>
      <c r="H56" s="84"/>
    </row>
    <row r="57" ht="21" customHeight="1" spans="5:8" x14ac:dyDescent="0.25">
      <c r="E57" s="28"/>
      <c r="F57" s="28"/>
      <c r="G57" s="28"/>
      <c r="H57" s="84"/>
    </row>
    <row r="58" ht="21" customHeight="1" spans="5:8" x14ac:dyDescent="0.25">
      <c r="E58" s="85"/>
      <c r="F58" s="28"/>
      <c r="G58" s="28"/>
      <c r="H58" s="84"/>
    </row>
    <row r="59" ht="21" customHeight="1" spans="5:8" x14ac:dyDescent="0.25">
      <c r="E59" s="28"/>
      <c r="F59" s="28"/>
      <c r="G59" s="28"/>
      <c r="H59" s="84"/>
    </row>
    <row r="60" ht="21" customHeight="1" spans="5:8" x14ac:dyDescent="0.25">
      <c r="E60" s="85"/>
      <c r="F60" s="28"/>
      <c r="G60" s="28"/>
      <c r="H60" s="84"/>
    </row>
    <row r="61" ht="21" customHeight="1" spans="5:8" x14ac:dyDescent="0.25">
      <c r="E61" s="28"/>
      <c r="F61" s="28"/>
      <c r="G61" s="28"/>
      <c r="H61" s="84"/>
    </row>
    <row r="62" ht="21" customHeight="1" spans="5:8" x14ac:dyDescent="0.25">
      <c r="E62" s="85"/>
      <c r="F62" s="28"/>
      <c r="G62" s="28"/>
      <c r="H62" s="84"/>
    </row>
    <row r="63" ht="21" customHeight="1" spans="5:8" x14ac:dyDescent="0.25">
      <c r="E63" s="85"/>
      <c r="F63" s="28"/>
      <c r="G63" s="28"/>
      <c r="H63" s="84"/>
    </row>
    <row r="64" ht="21" customHeight="1" spans="5:8" x14ac:dyDescent="0.25">
      <c r="E64" s="85"/>
      <c r="H64" s="84"/>
    </row>
    <row r="65" ht="21" customHeight="1" spans="5:8" x14ac:dyDescent="0.25">
      <c r="E65" s="85"/>
      <c r="H65" s="84"/>
    </row>
    <row r="66" ht="21" customHeight="1" spans="5:8" x14ac:dyDescent="0.25">
      <c r="E66" s="85"/>
      <c r="H66" s="84"/>
    </row>
    <row r="67" ht="21" customHeight="1" spans="5:8" x14ac:dyDescent="0.25">
      <c r="E67" s="85"/>
      <c r="H67" s="84"/>
    </row>
    <row r="68" ht="21" customHeight="1" spans="5:8" x14ac:dyDescent="0.25">
      <c r="E68" s="85"/>
      <c r="H68" s="84"/>
    </row>
    <row r="69" ht="21" customHeight="1" spans="5:8" x14ac:dyDescent="0.25">
      <c r="E69" s="85"/>
      <c r="H69" s="84"/>
    </row>
    <row r="71" spans="5:5" x14ac:dyDescent="0.25">
      <c r="E71" s="28"/>
    </row>
    <row r="74" spans="7:7" x14ac:dyDescent="0.25">
      <c r="G74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2026-09-11T11:55:26Z</cp:lastPrinted>
  <dcterms:created xsi:type="dcterms:W3CDTF">2014-09-02T11:57:04Z</dcterms:created>
  <dcterms:modified xsi:type="dcterms:W3CDTF">2026-09-11T12:37:14Z</dcterms:modified>
</cp:coreProperties>
</file>