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<sst xmlns="http://schemas.openxmlformats.org/spreadsheetml/2006/main" count="660" uniqueCount="277">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</sst>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6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2" fillId="3" borderId="14" xfId="0" applyNumberFormat="1" applyFont="1" applyFill="1" applyBorder="1"/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W6" sqref="W6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46318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55307</v>
      </c>
      <c r="F5" s="24"/>
      <c r="G5" s="24" t="s">
        <v>16</v>
      </c>
      <c r="H5" s="25">
        <f>+E5/C5</f>
        <v>691.3375</v>
      </c>
      <c r="I5" s="26">
        <v>804</v>
      </c>
      <c r="J5" s="27">
        <f t="shared" ref="J5:J43" si="0">IFERROR(ROUND((+H5/I5),1),0)</f>
        <v>0.9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12289</v>
      </c>
      <c r="F6" s="34"/>
      <c r="G6" s="34" t="s">
        <v>16</v>
      </c>
      <c r="H6" s="33">
        <f t="shared" ref="H6:H41" si="1">+E6/C6</f>
        <v>153.6125</v>
      </c>
      <c r="I6" s="35">
        <v>111</v>
      </c>
      <c r="J6" s="36">
        <f t="shared" si="0"/>
        <v>1.4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53072</v>
      </c>
      <c r="F7" s="34"/>
      <c r="G7" s="34" t="s">
        <v>16</v>
      </c>
      <c r="H7" s="33">
        <f t="shared" si="1"/>
        <v>663.4</v>
      </c>
      <c r="I7" s="35">
        <v>240</v>
      </c>
      <c r="J7" s="36">
        <f t="shared" si="0"/>
        <v>2.8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24938</v>
      </c>
      <c r="F8" s="34"/>
      <c r="G8" s="34" t="s">
        <v>16</v>
      </c>
      <c r="H8" s="33">
        <f t="shared" si="1"/>
        <v>311.725</v>
      </c>
      <c r="I8" s="35">
        <v>83</v>
      </c>
      <c r="J8" s="36">
        <f t="shared" si="0"/>
        <v>3.8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51277</v>
      </c>
      <c r="F10" s="34"/>
      <c r="G10" s="34" t="s">
        <v>16</v>
      </c>
      <c r="H10" s="33">
        <f t="shared" si="1"/>
        <v>640.9625</v>
      </c>
      <c r="I10" s="35">
        <v>261</v>
      </c>
      <c r="J10" s="36">
        <f t="shared" si="0"/>
        <v>2.5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952</v>
      </c>
      <c r="F11" s="34"/>
      <c r="G11" s="34" t="s">
        <v>16</v>
      </c>
      <c r="H11" s="33">
        <f t="shared" si="1"/>
        <v>11.9</v>
      </c>
      <c r="I11" s="35">
        <v>6</v>
      </c>
      <c r="J11" s="36">
        <f t="shared" si="0"/>
        <v>2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29230</v>
      </c>
      <c r="F12" s="32"/>
      <c r="G12" s="32" t="s">
        <v>31</v>
      </c>
      <c r="H12" s="33">
        <f t="shared" si="1"/>
        <v>365.375</v>
      </c>
      <c r="I12" s="35">
        <v>60</v>
      </c>
      <c r="J12" s="36">
        <f t="shared" si="0"/>
        <v>6.1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105</v>
      </c>
      <c r="F13" s="32"/>
      <c r="G13" s="32" t="s">
        <v>31</v>
      </c>
      <c r="H13" s="33">
        <f t="shared" si="1"/>
        <v>1.3125</v>
      </c>
      <c r="I13" s="35">
        <v>6</v>
      </c>
      <c r="J13" s="36">
        <f t="shared" si="0"/>
        <v>0.2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11325</v>
      </c>
      <c r="F14" s="45"/>
      <c r="G14" s="45" t="s">
        <v>31</v>
      </c>
      <c r="H14" s="23">
        <f t="shared" si="1"/>
        <v>145.19230769230768</v>
      </c>
      <c r="I14" s="46">
        <v>118</v>
      </c>
      <c r="J14" s="47">
        <f t="shared" si="0"/>
        <v>1.2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18204</v>
      </c>
      <c r="F15" s="34"/>
      <c r="G15" s="34" t="s">
        <v>31</v>
      </c>
      <c r="H15" s="33">
        <f t="shared" si="1"/>
        <v>233.3846153846154</v>
      </c>
      <c r="I15" s="35">
        <v>14</v>
      </c>
      <c r="J15" s="36">
        <f t="shared" si="0"/>
        <v>16.7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23379</v>
      </c>
      <c r="F16" s="34"/>
      <c r="G16" s="34" t="s">
        <v>31</v>
      </c>
      <c r="H16" s="33">
        <f t="shared" si="1"/>
        <v>299.7307692307692</v>
      </c>
      <c r="I16" s="35">
        <v>49</v>
      </c>
      <c r="J16" s="36">
        <f t="shared" si="0"/>
        <v>6.1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58</v>
      </c>
      <c r="F17" s="34"/>
      <c r="G17" s="34" t="s">
        <v>31</v>
      </c>
      <c r="H17" s="33">
        <f t="shared" si="1"/>
        <v>0.7435897435897436</v>
      </c>
      <c r="I17" s="35">
        <v>45</v>
      </c>
      <c r="J17" s="36">
        <f t="shared" si="0"/>
        <v>0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4332</v>
      </c>
      <c r="F18" s="34"/>
      <c r="G18" s="32" t="s">
        <v>31</v>
      </c>
      <c r="H18" s="33">
        <f t="shared" si="1"/>
        <v>55.53846153846154</v>
      </c>
      <c r="I18" s="35">
        <v>7</v>
      </c>
      <c r="J18" s="36">
        <f t="shared" si="0"/>
        <v>7.9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9850</v>
      </c>
      <c r="F20" s="34"/>
      <c r="G20" s="32" t="s">
        <v>31</v>
      </c>
      <c r="H20" s="33">
        <f t="shared" si="1"/>
        <v>126.28205128205128</v>
      </c>
      <c r="I20" s="35">
        <v>9</v>
      </c>
      <c r="J20" s="36">
        <f t="shared" si="0"/>
        <v>14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5788</v>
      </c>
      <c r="F21" s="44"/>
      <c r="G21" s="44" t="s">
        <v>31</v>
      </c>
      <c r="H21" s="23">
        <f t="shared" si="1"/>
        <v>36.175</v>
      </c>
      <c r="I21" s="46">
        <v>46</v>
      </c>
      <c r="J21" s="47">
        <f t="shared" si="0"/>
        <v>0.8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2693</v>
      </c>
      <c r="F22" s="32"/>
      <c r="G22" s="32" t="s">
        <v>31</v>
      </c>
      <c r="H22" s="33">
        <f t="shared" si="1"/>
        <v>16.83125</v>
      </c>
      <c r="I22" s="35">
        <v>6</v>
      </c>
      <c r="J22" s="36">
        <f t="shared" si="0"/>
        <v>2.8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10130</v>
      </c>
      <c r="F23" s="32"/>
      <c r="G23" s="32" t="s">
        <v>31</v>
      </c>
      <c r="H23" s="33">
        <f t="shared" si="1"/>
        <v>63.3125</v>
      </c>
      <c r="I23" s="35">
        <v>20</v>
      </c>
      <c r="J23" s="36">
        <f t="shared" si="0"/>
        <v>3.2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18494</v>
      </c>
      <c r="F24" s="32"/>
      <c r="G24" s="49" t="s">
        <v>31</v>
      </c>
      <c r="H24" s="33">
        <f t="shared" si="1"/>
        <v>115.5875</v>
      </c>
      <c r="I24" s="35">
        <v>20</v>
      </c>
      <c r="J24" s="36">
        <f t="shared" si="0"/>
        <v>5.8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5000</v>
      </c>
      <c r="F25" s="32"/>
      <c r="G25" s="32" t="s">
        <v>31</v>
      </c>
      <c r="H25" s="33">
        <f t="shared" si="1"/>
        <v>31.25</v>
      </c>
      <c r="I25" s="35">
        <v>4</v>
      </c>
      <c r="J25" s="36">
        <f t="shared" si="0"/>
        <v>7.8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20</v>
      </c>
      <c r="F26" s="53"/>
      <c r="G26" s="45" t="s">
        <v>16</v>
      </c>
      <c r="H26" s="23">
        <f t="shared" si="1"/>
        <v>0.4</v>
      </c>
      <c r="I26" s="46">
        <v>108</v>
      </c>
      <c r="J26" s="47">
        <f t="shared" si="0"/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67</v>
      </c>
      <c r="F27" s="58"/>
      <c r="G27" s="34" t="s">
        <v>16</v>
      </c>
      <c r="H27" s="33">
        <f t="shared" si="1"/>
        <v>1.34</v>
      </c>
      <c r="I27" s="35">
        <v>130</v>
      </c>
      <c r="J27" s="36">
        <f t="shared" si="0"/>
        <v>0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692</v>
      </c>
      <c r="F28" s="58"/>
      <c r="G28" s="34" t="s">
        <v>16</v>
      </c>
      <c r="H28" s="33">
        <f t="shared" si="1"/>
        <v>13.84</v>
      </c>
      <c r="I28" s="35">
        <v>46</v>
      </c>
      <c r="J28" s="36">
        <f t="shared" si="0"/>
        <v>0.3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28</v>
      </c>
      <c r="F29" s="58"/>
      <c r="G29" s="34" t="s">
        <v>16</v>
      </c>
      <c r="H29" s="33">
        <f t="shared" si="1"/>
        <v>0.56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3742</v>
      </c>
      <c r="F30" s="53"/>
      <c r="G30" s="45" t="s">
        <v>31</v>
      </c>
      <c r="H30" s="23">
        <f t="shared" si="1"/>
        <v>23.3875</v>
      </c>
      <c r="I30" s="46">
        <v>15</v>
      </c>
      <c r="J30" s="47">
        <f t="shared" si="0"/>
        <v>1.6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4999</v>
      </c>
      <c r="F31" s="58"/>
      <c r="G31" s="34" t="s">
        <v>31</v>
      </c>
      <c r="H31" s="33">
        <f t="shared" si="1"/>
        <v>31.24375</v>
      </c>
      <c r="I31" s="35">
        <v>24</v>
      </c>
      <c r="J31" s="36">
        <f t="shared" si="0"/>
        <v>1.3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10</v>
      </c>
      <c r="F32" s="58"/>
      <c r="G32" s="34" t="s">
        <v>31</v>
      </c>
      <c r="H32" s="33">
        <f t="shared" si="1"/>
        <v>0.0625</v>
      </c>
      <c r="I32" s="35">
        <v>21</v>
      </c>
      <c r="J32" s="36">
        <f t="shared" si="0"/>
        <v>0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21044</v>
      </c>
      <c r="F33" s="58"/>
      <c r="G33" s="34" t="s">
        <v>31</v>
      </c>
      <c r="H33" s="33">
        <f t="shared" si="1"/>
        <v>131.525</v>
      </c>
      <c r="I33" s="35">
        <v>15</v>
      </c>
      <c r="J33" s="36">
        <f t="shared" si="0"/>
        <v>8.8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0</v>
      </c>
      <c r="F36" s="58"/>
      <c r="G36" s="34" t="s">
        <v>31</v>
      </c>
      <c r="H36" s="33">
        <f t="shared" si="1"/>
        <v>0</v>
      </c>
      <c r="I36" s="35">
        <v>1</v>
      </c>
      <c r="J36" s="36">
        <f t="shared" si="0"/>
        <v>0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1033</v>
      </c>
      <c r="F38" s="62"/>
      <c r="G38" s="64" t="s">
        <v>16</v>
      </c>
      <c r="H38" s="33">
        <f t="shared" si="1"/>
        <v>12.297619047619047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7968</v>
      </c>
      <c r="F39" s="62"/>
      <c r="G39" s="64" t="s">
        <v>16</v>
      </c>
      <c r="H39" s="33">
        <f t="shared" si="1"/>
        <v>159.36</v>
      </c>
      <c r="I39" s="35">
        <v>14</v>
      </c>
      <c r="J39" s="36">
        <f t="shared" si="0"/>
        <v>11.4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30046</v>
      </c>
      <c r="F40" s="62"/>
      <c r="G40" s="64" t="s">
        <v>16</v>
      </c>
      <c r="H40" s="33">
        <f t="shared" si="1"/>
        <v>220.9264705882353</v>
      </c>
      <c r="I40" s="35">
        <v>27</v>
      </c>
      <c r="J40" s="36">
        <f t="shared" si="0"/>
        <v>8.2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10059</v>
      </c>
      <c r="F41" s="69"/>
      <c r="G41" s="70" t="s">
        <v>16</v>
      </c>
      <c r="H41" s="48">
        <f t="shared" si="1"/>
        <v>62.86875</v>
      </c>
      <c r="I41" s="35">
        <v>2</v>
      </c>
      <c r="J41" s="36">
        <f t="shared" si="0"/>
        <v>31.4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2858</v>
      </c>
      <c r="F42" s="69"/>
      <c r="G42" s="70" t="s">
        <v>16</v>
      </c>
      <c r="H42" s="48">
        <f>+E42/C42</f>
        <v>17.8625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418990</v>
      </c>
      <c r="F45" s="82"/>
      <c r="G45" s="82"/>
      <c r="H45" s="84">
        <f>SUM(H5:H44)</f>
        <v>4639.3399550204695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AT27" sqref="AT27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46317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23227+2000+30080</f>
        <v>55307</v>
      </c>
      <c r="K24" s="24"/>
      <c r="L24" s="24" t="s">
        <v>16</v>
      </c>
      <c r="M24" s="109">
        <f t="shared" si="1"/>
        <v>55307</v>
      </c>
      <c r="N24" s="110">
        <f t="shared" si="4"/>
        <v>0</v>
      </c>
      <c r="O24" s="111">
        <f>51208-J24</f>
        <v>-4099</v>
      </c>
      <c r="P24" s="111">
        <f>J24-IFERROR(VLOOKUP(A24,$R$26:$U$119,4,FALSE),0)+19600</f>
        <v>74907</v>
      </c>
      <c r="Q24" s="25">
        <f>+J24/H24</f>
        <v>691.3375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0.9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7">
        <f>11649+160+480</f>
        <v>12289</v>
      </c>
      <c r="K25" s="34"/>
      <c r="L25" s="34" t="s">
        <v>16</v>
      </c>
      <c r="M25" s="115">
        <f t="shared" si="1"/>
        <v>12289</v>
      </c>
      <c r="N25" s="116">
        <f t="shared" si="4"/>
        <v>0</v>
      </c>
      <c r="O25" s="117">
        <f>204-J25</f>
        <v>-12085</v>
      </c>
      <c r="P25" s="118">
        <f>J25-IFERROR(VLOOKUP(A25,$R$26:$U$119,4,FALSE),0)+0</f>
        <v>12289</v>
      </c>
      <c r="Q25" s="33">
        <f t="shared" ref="Q25:Q88" si="5">+J25/H25</f>
        <v>153.6125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1.4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13732+16880+22460</f>
        <v>53072</v>
      </c>
      <c r="K26" s="34"/>
      <c r="L26" s="34" t="s">
        <v>16</v>
      </c>
      <c r="M26" s="115">
        <f t="shared" si="1"/>
        <v>29656</v>
      </c>
      <c r="N26" s="116">
        <f t="shared" si="4"/>
        <v>23416</v>
      </c>
      <c r="O26" s="117">
        <f>8449-J26</f>
        <v>-44623</v>
      </c>
      <c r="P26" s="118">
        <f>J26-IFERROR(VLOOKUP(A26,$R$26:$U$119,4,FALSE),0)+5120</f>
        <v>34776</v>
      </c>
      <c r="Q26" s="33">
        <f t="shared" si="5"/>
        <v>663.4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2.8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3285+21653</f>
        <v>24938</v>
      </c>
      <c r="K27" s="34"/>
      <c r="L27" s="34" t="s">
        <v>16</v>
      </c>
      <c r="M27" s="115">
        <f t="shared" si="1"/>
        <v>24935</v>
      </c>
      <c r="N27" s="116">
        <f t="shared" si="4"/>
        <v>3</v>
      </c>
      <c r="O27" s="117">
        <f>5605-J27</f>
        <v>-19333</v>
      </c>
      <c r="P27" s="118">
        <f>J27-IFERROR(VLOOKUP(A27,$R$26:$U$119,4,FALSE),0)+4720+0</f>
        <v>29655</v>
      </c>
      <c r="Q27" s="33">
        <f t="shared" si="5"/>
        <v>311.725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3.8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40">
        <f>51278-1</f>
        <v>51277</v>
      </c>
      <c r="K29" s="34"/>
      <c r="L29" s="34" t="s">
        <v>16</v>
      </c>
      <c r="M29" s="115">
        <f t="shared" si="1"/>
        <v>47801</v>
      </c>
      <c r="N29" s="116">
        <f t="shared" si="4"/>
        <v>3476</v>
      </c>
      <c r="O29" s="117">
        <f>9357-J29</f>
        <v>-41920</v>
      </c>
      <c r="P29" s="118">
        <f>J29-IFERROR(VLOOKUP(A29,$R$26:$U$119,4,FALSE),0)+640</f>
        <v>48441</v>
      </c>
      <c r="Q29" s="33">
        <f t="shared" si="5"/>
        <v>640.9625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2.5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952</v>
      </c>
      <c r="K31" s="34"/>
      <c r="L31" s="34" t="s">
        <v>16</v>
      </c>
      <c r="M31" s="115">
        <f t="shared" si="1"/>
        <v>951</v>
      </c>
      <c r="N31" s="116">
        <f t="shared" si="4"/>
        <v>1</v>
      </c>
      <c r="O31" s="117">
        <f>525-J31</f>
        <v>-427</v>
      </c>
      <c r="P31" s="118">
        <f>J31-IFERROR(VLOOKUP(A31,$R$26:$U$119,4,FALSE),0)+0</f>
        <v>951</v>
      </c>
      <c r="Q31" s="33">
        <f t="shared" si="5"/>
        <v>11.9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2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29230</v>
      </c>
      <c r="K33" s="32"/>
      <c r="L33" s="32" t="s">
        <v>31</v>
      </c>
      <c r="M33" s="115">
        <f t="shared" si="1"/>
        <v>29230</v>
      </c>
      <c r="N33" s="116">
        <f>+IFERROR(VLOOKUP(A33,$R$24:$U$119,4,FALSE),0)-0</f>
        <v>0</v>
      </c>
      <c r="O33" s="117">
        <f>0-J33</f>
        <v>-29230</v>
      </c>
      <c r="P33" s="118">
        <f>J33-IFERROR(VLOOKUP(A33,$R$24:$U$119,4,FALSE),0)+0</f>
        <v>29230</v>
      </c>
      <c r="Q33" s="33">
        <f t="shared" si="5"/>
        <v>365.375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6.1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105</v>
      </c>
      <c r="K34" s="32"/>
      <c r="L34" s="32" t="s">
        <v>31</v>
      </c>
      <c r="M34" s="115">
        <f t="shared" si="1"/>
        <v>-50825</v>
      </c>
      <c r="N34" s="116">
        <f>+IFERROR(VLOOKUP(A34,$R$24:$U$119,4,FALSE),0)-0</f>
        <v>50930</v>
      </c>
      <c r="O34" s="117">
        <f>0-J34</f>
        <v>-105</v>
      </c>
      <c r="P34" s="118">
        <f>J34-IFERROR(VLOOKUP(A34,$R$24:$U$119,4,FALSE),0)+0</f>
        <v>-50825</v>
      </c>
      <c r="Q34" s="33">
        <f t="shared" si="5"/>
        <v>1.3125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0.2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5320-1+6006</f>
        <v>11325</v>
      </c>
      <c r="K35" s="45"/>
      <c r="L35" s="45" t="s">
        <v>31</v>
      </c>
      <c r="M35" s="124">
        <f t="shared" si="1"/>
        <v>-16985</v>
      </c>
      <c r="N35" s="125">
        <f t="shared" ref="N35:N48" si="7">+IFERROR(VLOOKUP(A35,$R$26:$U$119,4,FALSE),0)-0</f>
        <v>28310</v>
      </c>
      <c r="O35" s="126">
        <f>132941-J35</f>
        <v>121616</v>
      </c>
      <c r="P35" s="127">
        <f>J35-IFERROR(VLOOKUP(A35,$R$26:$U$119,4,FALSE),0)+3198</f>
        <v>-13787</v>
      </c>
      <c r="Q35" s="23">
        <f t="shared" si="5"/>
        <v>145.19230769230768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1.2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18360-156</f>
        <v>18204</v>
      </c>
      <c r="K36" s="34"/>
      <c r="L36" s="34" t="s">
        <v>31</v>
      </c>
      <c r="M36" s="115">
        <f t="shared" si="1"/>
        <v>653</v>
      </c>
      <c r="N36" s="116">
        <f t="shared" si="7"/>
        <v>17551</v>
      </c>
      <c r="O36" s="117">
        <f>51894-J36</f>
        <v>33690</v>
      </c>
      <c r="P36" s="118">
        <f>J36-IFERROR(VLOOKUP(A36,$R$26:$U$119,4,FALSE),0)+2106</f>
        <v>2759</v>
      </c>
      <c r="Q36" s="33">
        <f t="shared" si="5"/>
        <v>233.3846153846154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16.7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40">
        <f>23380-1</f>
        <v>23379</v>
      </c>
      <c r="K37" s="34"/>
      <c r="L37" s="34" t="s">
        <v>31</v>
      </c>
      <c r="M37" s="115">
        <f t="shared" si="1"/>
        <v>15534</v>
      </c>
      <c r="N37" s="116">
        <f t="shared" si="7"/>
        <v>7845</v>
      </c>
      <c r="O37" s="118">
        <f>17462-J37</f>
        <v>-5917</v>
      </c>
      <c r="P37" s="118">
        <f>J37-IFERROR(VLOOKUP(A37,$R$26:$U$119,4,FALSE),0)+2496</f>
        <v>18030</v>
      </c>
      <c r="Q37" s="33">
        <f t="shared" si="5"/>
        <v>299.7307692307692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6.1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58</v>
      </c>
      <c r="K38" s="34"/>
      <c r="L38" s="34" t="s">
        <v>31</v>
      </c>
      <c r="M38" s="115">
        <f t="shared" si="1"/>
        <v>-23221</v>
      </c>
      <c r="N38" s="116">
        <f t="shared" si="7"/>
        <v>23279</v>
      </c>
      <c r="O38" s="117">
        <f>39597-J38</f>
        <v>39539</v>
      </c>
      <c r="P38" s="118">
        <f>J38-IFERROR(VLOOKUP(A38,$R$26:$U$119,4,FALSE),0)+2652</f>
        <v>-20569</v>
      </c>
      <c r="Q38" s="33">
        <f t="shared" si="5"/>
        <v>0.7435897435897436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40">
        <f>4333-1</f>
        <v>4332</v>
      </c>
      <c r="K40" s="34"/>
      <c r="L40" s="32" t="s">
        <v>31</v>
      </c>
      <c r="M40" s="115">
        <f>+J40-N40</f>
        <v>4332</v>
      </c>
      <c r="N40" s="116">
        <f t="shared" si="7"/>
        <v>0</v>
      </c>
      <c r="O40" s="117">
        <f>50966-J40</f>
        <v>46634</v>
      </c>
      <c r="P40" s="118">
        <f>J40-IFERROR(VLOOKUP(A40,$R$26:$U$119,4,FALSE),0)+702</f>
        <v>5034</v>
      </c>
      <c r="Q40" s="33">
        <f t="shared" si="5"/>
        <v>55.53846153846154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7.9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9850</v>
      </c>
      <c r="K43" s="34"/>
      <c r="L43" s="32" t="s">
        <v>31</v>
      </c>
      <c r="M43" s="115">
        <f>+J43-N43</f>
        <v>9850</v>
      </c>
      <c r="N43" s="116">
        <f t="shared" si="7"/>
        <v>0</v>
      </c>
      <c r="O43" s="117">
        <f>50966-J43</f>
        <v>41116</v>
      </c>
      <c r="P43" s="118">
        <f>J43-IFERROR(VLOOKUP(A43,$R$26:$U$119,4,FALSE),0)+702</f>
        <v>10552</v>
      </c>
      <c r="Q43" s="33">
        <f t="shared" si="5"/>
        <v>126.28205128205128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14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5788</v>
      </c>
      <c r="K44" s="44"/>
      <c r="L44" s="44" t="s">
        <v>31</v>
      </c>
      <c r="M44" s="124">
        <f t="shared" si="1"/>
        <v>-42007</v>
      </c>
      <c r="N44" s="125">
        <f t="shared" si="7"/>
        <v>47795</v>
      </c>
      <c r="O44" s="126">
        <f>53358-J44</f>
        <v>47570</v>
      </c>
      <c r="P44" s="127">
        <f>J44-IFERROR(VLOOKUP(A44,$R$26:$U$119,4,FALSE),0)+5280</f>
        <v>-36727</v>
      </c>
      <c r="Q44" s="23">
        <f t="shared" si="5"/>
        <v>36.175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2693</v>
      </c>
      <c r="K45" s="32"/>
      <c r="L45" s="32" t="s">
        <v>31</v>
      </c>
      <c r="M45" s="115">
        <f t="shared" si="1"/>
        <v>-8410</v>
      </c>
      <c r="N45" s="116">
        <f t="shared" si="7"/>
        <v>11103</v>
      </c>
      <c r="O45" s="117">
        <f>20108-J45</f>
        <v>17415</v>
      </c>
      <c r="P45" s="118">
        <f>J45-IFERROR(VLOOKUP(A45,$R$26:$U$119,4,FALSE),0)+960</f>
        <v>-7450</v>
      </c>
      <c r="Q45" s="33">
        <f t="shared" si="5"/>
        <v>16.83125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2.8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f>4370+5760</f>
        <v>10130</v>
      </c>
      <c r="K46" s="32"/>
      <c r="L46" s="32" t="s">
        <v>31</v>
      </c>
      <c r="M46" s="115">
        <f t="shared" si="1"/>
        <v>7168</v>
      </c>
      <c r="N46" s="116">
        <f t="shared" si="7"/>
        <v>2962</v>
      </c>
      <c r="O46" s="117">
        <f>6244-J46</f>
        <v>-3886</v>
      </c>
      <c r="P46" s="118">
        <f>J46-IFERROR(VLOOKUP(A46,$R$26:$U$119,4,FALSE),0)+1760</f>
        <v>8928</v>
      </c>
      <c r="Q46" s="33">
        <f t="shared" si="5"/>
        <v>63.3125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3.2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18494</v>
      </c>
      <c r="K48" s="32"/>
      <c r="L48" s="49" t="s">
        <v>31</v>
      </c>
      <c r="M48" s="115">
        <f t="shared" si="1"/>
        <v>18488</v>
      </c>
      <c r="N48" s="116">
        <f t="shared" si="7"/>
        <v>6</v>
      </c>
      <c r="O48" s="117">
        <f>30490-J48</f>
        <v>11996</v>
      </c>
      <c r="P48" s="118">
        <f>J48-IFERROR(VLOOKUP(A48,$R$26:$U$119,4,FALSE),0)+2880+0</f>
        <v>21368</v>
      </c>
      <c r="Q48" s="33">
        <f t="shared" si="5"/>
        <v>115.5875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5.8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5000</v>
      </c>
      <c r="K52" s="32"/>
      <c r="L52" s="32" t="s">
        <v>31</v>
      </c>
      <c r="M52" s="115"/>
      <c r="N52" s="116"/>
      <c r="O52" s="117"/>
      <c r="P52" s="118"/>
      <c r="Q52" s="33">
        <f t="shared" si="5"/>
        <v>31.25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7.8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40">
        <f>21-1</f>
        <v>20</v>
      </c>
      <c r="K63" s="53"/>
      <c r="L63" s="45" t="s">
        <v>16</v>
      </c>
      <c r="M63" s="124">
        <f t="shared" si="1"/>
        <v>-40610</v>
      </c>
      <c r="N63" s="125">
        <f t="shared" si="8"/>
        <v>40630</v>
      </c>
      <c r="O63" s="126">
        <f t="shared" ref="O63:O69" si="10">52606-J63</f>
        <v>52586</v>
      </c>
      <c r="P63" s="127">
        <f t="shared" ref="P63:P69" si="11">J63-IFERROR(VLOOKUP(A63,$R$26:$U$119,4,FALSE),0)+6150</f>
        <v>-34460</v>
      </c>
      <c r="Q63" s="23">
        <f t="shared" si="5"/>
        <v>0.4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67</v>
      </c>
      <c r="K64" s="58"/>
      <c r="L64" s="34" t="s">
        <v>16</v>
      </c>
      <c r="M64" s="115">
        <f t="shared" si="1"/>
        <v>67</v>
      </c>
      <c r="N64" s="116">
        <f t="shared" si="8"/>
        <v>0</v>
      </c>
      <c r="O64" s="117">
        <f t="shared" si="10"/>
        <v>52539</v>
      </c>
      <c r="P64" s="118">
        <f t="shared" si="11"/>
        <v>6217</v>
      </c>
      <c r="Q64" s="33">
        <f t="shared" si="5"/>
        <v>1.34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692</v>
      </c>
      <c r="K68" s="58"/>
      <c r="L68" s="34" t="s">
        <v>16</v>
      </c>
      <c r="M68" s="115">
        <f t="shared" si="1"/>
        <v>692</v>
      </c>
      <c r="N68" s="116">
        <f t="shared" si="8"/>
        <v>0</v>
      </c>
      <c r="O68" s="117">
        <f t="shared" si="10"/>
        <v>51914</v>
      </c>
      <c r="P68" s="118">
        <f t="shared" si="11"/>
        <v>6842</v>
      </c>
      <c r="Q68" s="33">
        <f t="shared" si="5"/>
        <v>13.84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0.3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28</v>
      </c>
      <c r="K69" s="58"/>
      <c r="L69" s="34" t="s">
        <v>16</v>
      </c>
      <c r="M69" s="115">
        <f t="shared" si="1"/>
        <v>28</v>
      </c>
      <c r="N69" s="116">
        <f t="shared" si="8"/>
        <v>0</v>
      </c>
      <c r="O69" s="117">
        <f t="shared" si="10"/>
        <v>52578</v>
      </c>
      <c r="P69" s="118">
        <f t="shared" si="11"/>
        <v>6178</v>
      </c>
      <c r="Q69" s="33">
        <f t="shared" si="5"/>
        <v>0.56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3742</v>
      </c>
      <c r="K74" s="53"/>
      <c r="L74" s="45" t="s">
        <v>31</v>
      </c>
      <c r="M74" s="124">
        <f t="shared" si="1"/>
        <v>3742</v>
      </c>
      <c r="N74" s="125">
        <f t="shared" si="8"/>
        <v>0</v>
      </c>
      <c r="O74" s="126"/>
      <c r="P74" s="127">
        <f t="shared" si="12"/>
        <v>3742</v>
      </c>
      <c r="Q74" s="23">
        <f t="shared" si="5"/>
        <v>23.3875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1.6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5000-1</f>
        <v>4999</v>
      </c>
      <c r="K75" s="58"/>
      <c r="L75" s="34" t="s">
        <v>31</v>
      </c>
      <c r="M75" s="115">
        <f t="shared" si="1"/>
        <v>4999</v>
      </c>
      <c r="N75" s="116">
        <f t="shared" si="8"/>
        <v>0</v>
      </c>
      <c r="O75" s="117"/>
      <c r="P75" s="118">
        <f t="shared" si="12"/>
        <v>4999</v>
      </c>
      <c r="Q75" s="33">
        <f t="shared" si="5"/>
        <v>31.24375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1.3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10</v>
      </c>
      <c r="K76" s="58"/>
      <c r="L76" s="34" t="s">
        <v>31</v>
      </c>
      <c r="M76" s="115">
        <f t="shared" si="1"/>
        <v>10</v>
      </c>
      <c r="N76" s="116">
        <f t="shared" si="8"/>
        <v>0</v>
      </c>
      <c r="O76" s="117"/>
      <c r="P76" s="118">
        <f t="shared" si="12"/>
        <v>10</v>
      </c>
      <c r="Q76" s="33">
        <f t="shared" si="5"/>
        <v>0.0625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21044</v>
      </c>
      <c r="K77" s="58"/>
      <c r="L77" s="34" t="s">
        <v>31</v>
      </c>
      <c r="M77" s="115">
        <f t="shared" si="1"/>
        <v>21044</v>
      </c>
      <c r="N77" s="116">
        <f t="shared" si="8"/>
        <v>0</v>
      </c>
      <c r="O77" s="117"/>
      <c r="P77" s="118">
        <f t="shared" si="12"/>
        <v>21044</v>
      </c>
      <c r="Q77" s="33">
        <f t="shared" si="5"/>
        <v>131.525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8.8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0</v>
      </c>
      <c r="K80" s="58"/>
      <c r="L80" s="34" t="s">
        <v>31</v>
      </c>
      <c r="M80" s="115">
        <f t="shared" si="13"/>
        <v>0</v>
      </c>
      <c r="N80" s="116">
        <f t="shared" si="8"/>
        <v>0</v>
      </c>
      <c r="O80" s="117"/>
      <c r="P80" s="118">
        <f t="shared" si="12"/>
        <v>0</v>
      </c>
      <c r="Q80" s="33">
        <f t="shared" si="5"/>
        <v>0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152">
        <f>1031+2</f>
        <v>1033</v>
      </c>
      <c r="K82" s="62"/>
      <c r="L82" s="64" t="s">
        <v>16</v>
      </c>
      <c r="M82" s="115">
        <f t="shared" si="13"/>
        <v>1033</v>
      </c>
      <c r="N82" s="116">
        <f t="shared" si="8"/>
        <v>0</v>
      </c>
      <c r="O82" s="117"/>
      <c r="P82" s="118">
        <f t="shared" si="12"/>
        <v>1033</v>
      </c>
      <c r="Q82" s="33">
        <f t="shared" si="5"/>
        <v>12.297619047619047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7968</v>
      </c>
      <c r="K83" s="62"/>
      <c r="L83" s="64" t="s">
        <v>16</v>
      </c>
      <c r="M83" s="115"/>
      <c r="N83" s="116"/>
      <c r="O83" s="117"/>
      <c r="P83" s="118"/>
      <c r="Q83" s="33">
        <f t="shared" si="5"/>
        <v>159.36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11.4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30046</v>
      </c>
      <c r="K84" s="62"/>
      <c r="L84" s="64" t="s">
        <v>16</v>
      </c>
      <c r="M84" s="115"/>
      <c r="N84" s="116"/>
      <c r="O84" s="117"/>
      <c r="P84" s="118"/>
      <c r="Q84" s="33">
        <f t="shared" si="5"/>
        <v>220.9264705882353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8.2</v>
      </c>
      <c r="AN84" s="114"/>
    </row>
    <row r="85" ht="27.95" customHeight="1" hidden="1" spans="1:40" x14ac:dyDescent="0.25">
      <c r="A85" s="153" t="s">
        <v>209</v>
      </c>
      <c r="B85" s="154" t="s">
        <v>210</v>
      </c>
      <c r="C85" s="155"/>
      <c r="D85" s="155"/>
      <c r="E85" s="156"/>
      <c r="F85" s="157"/>
      <c r="G85" s="157"/>
      <c r="H85" s="156">
        <v>78</v>
      </c>
      <c r="I85" s="157"/>
      <c r="J85" s="54">
        <v>0</v>
      </c>
      <c r="K85" s="157"/>
      <c r="L85" s="158" t="s">
        <v>16</v>
      </c>
      <c r="M85" s="159"/>
      <c r="N85" s="160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1"/>
      <c r="D86" s="161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2"/>
      <c r="N86" s="163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1"/>
      <c r="D87" s="161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2"/>
      <c r="N87" s="163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1"/>
      <c r="D88" s="161"/>
      <c r="E88" s="68"/>
      <c r="F88" s="69"/>
      <c r="G88" s="69"/>
      <c r="H88" s="68">
        <v>160</v>
      </c>
      <c r="I88" s="69"/>
      <c r="J88" s="33">
        <v>10059</v>
      </c>
      <c r="K88" s="69"/>
      <c r="L88" s="70" t="s">
        <v>16</v>
      </c>
      <c r="M88" s="162"/>
      <c r="N88" s="163"/>
      <c r="O88" s="118"/>
      <c r="P88" s="118"/>
      <c r="Q88" s="48">
        <f t="shared" si="5"/>
        <v>62.86875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31.4</v>
      </c>
      <c r="AN88" s="114"/>
    </row>
    <row r="89" ht="27.95" customHeight="1" spans="1:40" x14ac:dyDescent="0.25">
      <c r="A89" s="66" t="s">
        <v>90</v>
      </c>
      <c r="B89" s="67" t="s">
        <v>91</v>
      </c>
      <c r="C89" s="161"/>
      <c r="D89" s="161"/>
      <c r="E89" s="68"/>
      <c r="F89" s="69"/>
      <c r="G89" s="69"/>
      <c r="H89" s="68">
        <v>160</v>
      </c>
      <c r="I89" s="69"/>
      <c r="J89" s="48">
        <v>2858</v>
      </c>
      <c r="K89" s="69"/>
      <c r="L89" s="70" t="s">
        <v>16</v>
      </c>
      <c r="M89" s="162"/>
      <c r="N89" s="163"/>
      <c r="O89" s="118"/>
      <c r="P89" s="118"/>
      <c r="Q89" s="48">
        <f>+J89/H89</f>
        <v>17.8625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4"/>
      <c r="D90" s="164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5"/>
      <c r="N90" s="166"/>
      <c r="O90" s="167"/>
      <c r="P90" s="167"/>
      <c r="Q90" s="77">
        <f>+J90/H90</f>
        <v>0</v>
      </c>
      <c r="R90" s="168"/>
      <c r="S90" s="168"/>
      <c r="T90" s="168"/>
      <c r="U90" s="169"/>
      <c r="V90" s="170"/>
      <c r="W90" s="168"/>
      <c r="X90" s="170"/>
      <c r="Y90" s="168"/>
      <c r="Z90" s="168"/>
      <c r="AA90" s="168"/>
      <c r="AB90" s="168"/>
      <c r="AC90" s="171"/>
      <c r="AD90" s="172"/>
      <c r="AE90" s="168"/>
      <c r="AF90" s="168"/>
      <c r="AG90" s="168"/>
      <c r="AH90" s="168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3" t="s">
        <v>215</v>
      </c>
      <c r="B91" s="173" t="s">
        <v>216</v>
      </c>
      <c r="C91" s="173"/>
      <c r="D91" s="173"/>
      <c r="E91" s="173"/>
      <c r="F91" s="173"/>
      <c r="G91" s="173"/>
      <c r="H91" s="173">
        <v>70</v>
      </c>
      <c r="I91" s="173"/>
      <c r="J91" s="174">
        <v>0</v>
      </c>
      <c r="K91" s="174"/>
      <c r="L91" s="174" t="s">
        <v>16</v>
      </c>
      <c r="M91" s="105"/>
      <c r="N91" s="28"/>
      <c r="P91" s="106"/>
      <c r="Q91" s="174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3" t="s">
        <v>217</v>
      </c>
      <c r="B92" s="173" t="s">
        <v>218</v>
      </c>
      <c r="C92" s="173"/>
      <c r="D92" s="173"/>
      <c r="E92" s="173"/>
      <c r="F92" s="173"/>
      <c r="G92" s="173"/>
      <c r="H92" s="173">
        <v>70</v>
      </c>
      <c r="I92" s="173"/>
      <c r="J92" s="174">
        <v>0</v>
      </c>
      <c r="K92" s="174"/>
      <c r="L92" s="174" t="s">
        <v>16</v>
      </c>
      <c r="M92" s="105">
        <f>+J92-N92</f>
        <v>0</v>
      </c>
      <c r="N92" s="174">
        <f>+IFERROR(VLOOKUP(A92,$R$26:$U$119,4,FALSE),0)-0</f>
        <v>0</v>
      </c>
      <c r="P92" s="175">
        <f>J92-IFERROR(VLOOKUP(A92,$R$26:$U$119,4,FALSE),0)+0</f>
        <v>0</v>
      </c>
      <c r="Q92" s="174"/>
      <c r="U92" s="82"/>
      <c r="AC92" s="176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6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418990</v>
      </c>
      <c r="K94" s="82"/>
      <c r="L94" s="82"/>
      <c r="M94" s="177">
        <f>SUM(M14:M93)</f>
        <v>105752</v>
      </c>
      <c r="N94" s="82"/>
      <c r="O94" s="178">
        <f>SUM(O14:O93)</f>
        <v>719404</v>
      </c>
      <c r="P94" s="179">
        <f>SUM(P14:P93)</f>
        <v>203724</v>
      </c>
      <c r="Q94" s="84">
        <f>SUM(Q24:Q93)</f>
        <v>4639.3399550204695</v>
      </c>
      <c r="R94" s="103"/>
      <c r="U94" s="180"/>
      <c r="AB94" s="103"/>
      <c r="AC94" s="176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80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4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4">
        <f>+IFERROR(VLOOKUP(A101,$R$26:$U$119,4,FALSE),0)-0</f>
        <v>0</v>
      </c>
      <c r="P101" s="175">
        <f>J101-IFERROR(VLOOKUP(A101,$R$26:$U$119,4,FALSE),0)+0</f>
        <v>0</v>
      </c>
      <c r="Q101" s="81"/>
      <c r="R101" s="103"/>
      <c r="U101" s="180"/>
      <c r="AB101" s="103"/>
      <c r="AC101" s="174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80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80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80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1"/>
      <c r="P106" s="106"/>
      <c r="Q106" s="81"/>
      <c r="R106" s="103"/>
      <c r="S106" s="28"/>
      <c r="U106" s="180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80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1"/>
      <c r="P108" s="106"/>
      <c r="Q108" s="81"/>
      <c r="R108" s="182"/>
      <c r="S108" s="183"/>
      <c r="U108" s="180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3"/>
      <c r="U109" s="180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1"/>
      <c r="P110" s="106"/>
      <c r="Q110" s="81"/>
      <c r="R110" s="103"/>
      <c r="U110" s="180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80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1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1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1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1"/>
      <c r="P117" s="106"/>
      <c r="Q117" s="81"/>
      <c r="R117" s="184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1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1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5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2026-10-23T12:33:23Z</dcterms:modified>
</cp:coreProperties>
</file>