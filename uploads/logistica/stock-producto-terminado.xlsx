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28" name="Existencia Sistema" state="visible" r:id="rId4"/>
  </sheets>
  <definedNames>
    <definedName name="_xlnm.Print_Area" localSheetId="0">'Existencia Sistema'!$A1:$J76</definedName>
  </definedNames>
  <calcPr calcId="171027"/>
</workbook>
</file>

<file path=xl/sharedStrings.xml><?xml version="1.0" encoding="utf-8"?>
<sst xmlns="http://schemas.openxmlformats.org/spreadsheetml/2006/main" count="221" uniqueCount="154">
  <si>
    <t>MULTINACIONAL DE SABORES C.A.</t>
  </si>
  <si>
    <t>PRODUCIR</t>
  </si>
  <si>
    <t>EXISTENCIA  FISICA MULTINACIONAL</t>
  </si>
  <si>
    <t>NO PRODUCIR</t>
  </si>
  <si>
    <t>Almacenes consolidados: NoAlmacén: Principal</t>
  </si>
  <si>
    <t>POR DECISION</t>
  </si>
  <si>
    <t>Artículo</t>
  </si>
  <si>
    <t>Denominación</t>
  </si>
  <si>
    <t>Cajas / Paleta</t>
  </si>
  <si>
    <t>Stock</t>
  </si>
  <si>
    <t>UND</t>
  </si>
  <si>
    <t>PALETAS</t>
  </si>
  <si>
    <t>CONSUMO PROM PALETAS X DIA</t>
  </si>
  <si>
    <t>DIAS INVENTARIO PARA CONSUMO</t>
  </si>
  <si>
    <t>PRODT-0007</t>
  </si>
  <si>
    <t xml:space="preserve">GLUP! COLA NEGRA 6X2000ML </t>
  </si>
  <si>
    <t xml:space="preserve">CJ </t>
  </si>
  <si>
    <t>PRODT-0008</t>
  </si>
  <si>
    <t xml:space="preserve">GLUP! UVA 6X2000ML </t>
  </si>
  <si>
    <t>PRODT-0009</t>
  </si>
  <si>
    <t xml:space="preserve">GLUP! KOLITA 6X2000ML </t>
  </si>
  <si>
    <t>PRODT-0010</t>
  </si>
  <si>
    <t xml:space="preserve">GLUP! PIÑA 6X2000ML </t>
  </si>
  <si>
    <t>PRODT-0011</t>
  </si>
  <si>
    <t xml:space="preserve">GLUP! NARANJA 6X2000ML </t>
  </si>
  <si>
    <t>PRODT-0012</t>
  </si>
  <si>
    <t xml:space="preserve">GLUP! FRESH 6X2000ML </t>
  </si>
  <si>
    <t>PRODT-0048</t>
  </si>
  <si>
    <t>GLUP! PONCHE DE FRUTAS CAJA X 6BOT X 2LTS</t>
  </si>
  <si>
    <t>PRODT-0049</t>
  </si>
  <si>
    <t>GLUP! MANZANA VERDE CAJA X 6BOT X 2LTS</t>
  </si>
  <si>
    <t>PRODT-0050</t>
  </si>
  <si>
    <t>GLUP! CHICLE BOMBA CAJA X 6BOT X 2LTS</t>
  </si>
  <si>
    <t>PRODT-0097</t>
  </si>
  <si>
    <t>GLUP! MANZANA ROJA CAJA X 6BOT X 2.0LTS</t>
  </si>
  <si>
    <t>CJ</t>
  </si>
  <si>
    <t>PRODT-0098</t>
  </si>
  <si>
    <t>GLUP! PIÑA PARCHITA CAJA X 6BOT X 2.0LTS</t>
  </si>
  <si>
    <t>PRODT-0082</t>
  </si>
  <si>
    <t>GLUP! COLA NEGRA CAJA X 12BOT X 1LTS</t>
  </si>
  <si>
    <t>PRODT-0084</t>
  </si>
  <si>
    <t>GLUP! UVA  CAJA X 12BOT X 1.0LTS</t>
  </si>
  <si>
    <t>PRODT-0086</t>
  </si>
  <si>
    <t>GLUP! FRESH CAJA X 12BOT X 1.0LTS</t>
  </si>
  <si>
    <t>PRODT-0088</t>
  </si>
  <si>
    <t>GLUP! KOLITA  CAJA X 12BOT X 1.0LTS</t>
  </si>
  <si>
    <t>PRODT-0090</t>
  </si>
  <si>
    <t>GLUP! MANZANA VERDE CAJA X 12BOT X 1.0LTS</t>
  </si>
  <si>
    <t>PRODT-0104</t>
  </si>
  <si>
    <t>GLUP! PIÑA CAJA X 12BOT X 1.0LTS</t>
  </si>
  <si>
    <t>PRODT-0105</t>
  </si>
  <si>
    <t>GLUP! NARANJA CAJA X 12BOT X 1.0LTS</t>
  </si>
  <si>
    <t>PRODT-0106</t>
  </si>
  <si>
    <t>GLUP! PIÑA PARCHITA CAJA X 12BOT X 1.0LTS</t>
  </si>
  <si>
    <t>PRODT-0107</t>
  </si>
  <si>
    <t>GLUP! MANZANA ROJA CAJA X 12BOT X 1.0LTS</t>
  </si>
  <si>
    <t>PRODT-0092</t>
  </si>
  <si>
    <t>GLUP! COLA NEGRA CAJA X 15 BOT X 0.400LTS</t>
  </si>
  <si>
    <t>PRODT-0093</t>
  </si>
  <si>
    <t>GLUP! UVA  CAJA X 15BOT X 0.400LTS</t>
  </si>
  <si>
    <t>PRODT-0094</t>
  </si>
  <si>
    <t>GLUP! KOLITA  CAJA X 15BOT X 0.400LTS</t>
  </si>
  <si>
    <t>PRODT-0096</t>
  </si>
  <si>
    <t>GLUP! MANZANA VERDE CAJA X 15BOT X 0.400LTS</t>
  </si>
  <si>
    <t>PRODT-0095</t>
  </si>
  <si>
    <t>GLUP! FRESH CAJA X 15BOT X 0.400LTS</t>
  </si>
  <si>
    <t>PRODT-0108</t>
  </si>
  <si>
    <t>GLUP! PIÑA CAJA X 15BOT X 0.400LTS</t>
  </si>
  <si>
    <t>PRODT-0109</t>
  </si>
  <si>
    <t>GLUP! NARANJA CAJA X 15BOT X 0.400LTS</t>
  </si>
  <si>
    <t>PRODT-0110</t>
  </si>
  <si>
    <t>GLUP! PIÑA PARCHITA CAJA X 15BOT X 0.400LTS</t>
  </si>
  <si>
    <t>PRODT-0111</t>
  </si>
  <si>
    <t>GLUP! MANZANA ROJA CAJA X 15BOT X 0.400LTS</t>
  </si>
  <si>
    <t>PRODT-0022</t>
  </si>
  <si>
    <t xml:space="preserve">GLUP! NARANJA 24X300ML </t>
  </si>
  <si>
    <t>PRODT-0024</t>
  </si>
  <si>
    <t xml:space="preserve">GLUP! FRESH 24X300ML </t>
  </si>
  <si>
    <t>PRODT-0030</t>
  </si>
  <si>
    <t xml:space="preserve">GLUP! COLA NEGRA 24X300ML </t>
  </si>
  <si>
    <t>PRODT-0031</t>
  </si>
  <si>
    <t xml:space="preserve">GLUP! UVA 24X300ML </t>
  </si>
  <si>
    <t>PRODT-0032</t>
  </si>
  <si>
    <t xml:space="preserve">GLUP! KOLITA 24X300ML </t>
  </si>
  <si>
    <t>PRODT-0033</t>
  </si>
  <si>
    <t xml:space="preserve">GLUP! PIÑA 24X300ML </t>
  </si>
  <si>
    <t>PRODT-0017</t>
  </si>
  <si>
    <t>AGUA FRESHQUA 1,5L</t>
  </si>
  <si>
    <t>PRODT-0018</t>
  </si>
  <si>
    <t xml:space="preserve">AGUA MINERAL FRESHQUA 355 ML   </t>
  </si>
  <si>
    <t>PRODT-0019</t>
  </si>
  <si>
    <t xml:space="preserve">AGUA MINERAL FRESHQUA 600 ML        </t>
  </si>
  <si>
    <t>PRODT-0013</t>
  </si>
  <si>
    <t xml:space="preserve">JUSTY MANGO DURAZNO 1,5 LTRS       </t>
  </si>
  <si>
    <t>PRODT-0014</t>
  </si>
  <si>
    <t xml:space="preserve">JUSTY NARANJA 1,5 LTRS                            </t>
  </si>
  <si>
    <t>PRODT-0100</t>
  </si>
  <si>
    <t>JUSTY DURAZNO CAJA X 12BOT X 1.5LTS</t>
  </si>
  <si>
    <t>PRODT-0101</t>
  </si>
  <si>
    <t>JUSTY SANDIA CAJA X 12BOT X 1.5LTS</t>
  </si>
  <si>
    <t>PRODT-0102</t>
  </si>
  <si>
    <t>JUSTY MANDARINA CAJA X 12BOT X 1.5LTS</t>
  </si>
  <si>
    <t>PRODT-0103</t>
  </si>
  <si>
    <t>JUSTY TAMARINDO CAJA X 12BOT X 1.5LTS</t>
  </si>
  <si>
    <t>PRODT-0115</t>
  </si>
  <si>
    <t>JUSTY PERA CAJA X 12BOT X 1.5LTS</t>
  </si>
  <si>
    <t>PRODT-0116</t>
  </si>
  <si>
    <t>JUSTY MANZANA CAJA X 12BOT X 1.5LTS</t>
  </si>
  <si>
    <t>PRODT-0015</t>
  </si>
  <si>
    <t xml:space="preserve">JUSTY FRUTAS ROJAS 1,5 LTRS    </t>
  </si>
  <si>
    <t>PRODT-0016</t>
  </si>
  <si>
    <t xml:space="preserve">JUSTY FRUTAS ROJAS 355 ML </t>
  </si>
  <si>
    <t>PRODT-0020</t>
  </si>
  <si>
    <t xml:space="preserve">JUSTY MANGO DURAZNO 355 ML                        </t>
  </si>
  <si>
    <t>PRODT-0021</t>
  </si>
  <si>
    <t xml:space="preserve">JUSTY NARANJA 355 ML            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</si>
  <si>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</si>
  <si>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</si>
  <si>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</si>
  <si>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</si>
  <si>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</si>
  <si>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</si>
  <si>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</si>
  <si>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</si>
  <si>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</si>
  <si>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</si>
  <si>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</si>
  <si>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</si>
  <si>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</si>
  <si>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</si>
  <si>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</si>
  <si>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</si>
  <si>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</si>
  <si>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</si>
  <si>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</si>
  <si>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</si>
  <si>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</si>
  <si>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</si>
  <si>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PRODT-0117</t>
  </si>
  <si>
    <t>POWER X SABOR ORIGINAL CAJA X 12BOT X 1LTS</t>
  </si>
  <si>
    <t>PRODT-0118</t>
  </si>
  <si>
    <t>POWER X SABOR CAFE CAJA X 12BOT X 1LTS</t>
  </si>
  <si>
    <t>PRODT-0119</t>
  </si>
  <si>
    <t>POWER X SABOR NARANJA CAJA X 12BOT X 1LTS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</si>
  <si>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</si>
  <si>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</si>
  <si>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</si>
  <si>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</si>
  <si>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</si>
  <si>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</si>
  <si>
    <t>PRODT-0041</t>
  </si>
  <si>
    <t>VITA TEA  (LIMÓN)  CAJA X 24 BOT X 0.355LTS</t>
  </si>
  <si>
    <t>PRODT-0042</t>
  </si>
  <si>
    <t>VITA TEA  (DURAZNO)  CAJA X 24 BOT X 0.355LTS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</si>
</sst>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5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b/>
      <family val="2"/>
      <scheme val="minor"/>
      <sz val="18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4"/>
      <name val="Calibri"/>
    </font>
    <font>
      <b/>
      <family val="2"/>
      <scheme val="minor"/>
      <sz val="11"/>
      <name val="Calibri"/>
    </font>
    <font>
      <b/>
      <color theme="1"/>
      <family val="2"/>
      <scheme val="minor"/>
      <sz val="16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2" tint="-0.249977111117893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103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2" fillId="0" borderId="0" xfId="0" applyNumberFormat="1" applyFont="1"/>
    <xf numFmtId="0" fontId="0" fillId="0" borderId="4" xfId="0" applyBorder="1"/>
    <xf numFmtId="0" fontId="3" fillId="0" borderId="0" xfId="0" applyFont="1"/>
    <xf numFmtId="0" fontId="0" fillId="0" borderId="5" xfId="0" applyBorder="1"/>
    <xf numFmtId="19" fontId="4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4" fillId="0" borderId="0" xfId="0" applyFont="1"/>
    <xf numFmtId="0" fontId="2" fillId="0" borderId="9" xfId="0" applyFont="1" applyBorder="1"/>
    <xf numFmtId="0" fontId="2" fillId="0" borderId="10" xfId="0" applyFont="1" applyBorder="1"/>
    <xf numFmtId="0" fontId="2" fillId="0" borderId="10" xfId="0" applyFont="1" applyBorder="1" applyAlignment="1">
      <alignment horizontal="center" wrapText="1"/>
    </xf>
    <xf numFmtId="3" fontId="2" fillId="0" borderId="10" xfId="0" applyNumberFormat="1" applyFont="1" applyBorder="1"/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2" borderId="12" xfId="0" applyFont="1" applyFill="1" applyBorder="1" applyAlignment="1">
      <alignment vertical="top"/>
    </xf>
    <xf numFmtId="0" fontId="6" fillId="2" borderId="13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/>
    </xf>
    <xf numFmtId="0" fontId="0" fillId="2" borderId="13" xfId="0" applyFill="1" applyBorder="1"/>
    <xf numFmtId="3" fontId="7" fillId="2" borderId="14" xfId="0" applyNumberFormat="1" applyFont="1" applyFill="1" applyBorder="1"/>
    <xf numFmtId="3" fontId="0" fillId="2" borderId="13" xfId="0" applyNumberFormat="1" applyFill="1" applyBorder="1"/>
    <xf numFmtId="3" fontId="7" fillId="2" borderId="13" xfId="0" applyNumberFormat="1" applyFont="1" applyFill="1" applyBorder="1"/>
    <xf numFmtId="0" fontId="7" fillId="2" borderId="13" xfId="0" applyFont="1" applyFill="1" applyBorder="1"/>
    <xf numFmtId="0" fontId="7" fillId="2" borderId="15" xfId="0" applyFont="1" applyFill="1" applyBorder="1" applyAlignment="1">
      <alignment horizontal="right"/>
    </xf>
    <xf numFmtId="0" fontId="6" fillId="0" borderId="16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2" fillId="0" borderId="14" xfId="0" applyFont="1" applyBorder="1" applyAlignment="1">
      <alignment horizontal="center"/>
    </xf>
    <xf numFmtId="0" fontId="0" fillId="0" borderId="14" xfId="0" applyBorder="1"/>
    <xf numFmtId="3" fontId="7" fillId="3" borderId="14" xfId="0" applyNumberFormat="1" applyFont="1" applyFill="1" applyBorder="1"/>
    <xf numFmtId="3" fontId="0" fillId="0" borderId="14" xfId="0" applyNumberFormat="1" applyBorder="1"/>
    <xf numFmtId="3" fontId="7" fillId="0" borderId="14" xfId="0" applyNumberFormat="1" applyFont="1" applyBorder="1"/>
    <xf numFmtId="0" fontId="7" fillId="0" borderId="14" xfId="0" applyFont="1" applyBorder="1"/>
    <xf numFmtId="0" fontId="7" fillId="0" borderId="17" xfId="0" applyFont="1" applyBorder="1"/>
    <xf numFmtId="0" fontId="6" fillId="0" borderId="16" xfId="0" applyFont="1" applyBorder="1"/>
    <xf numFmtId="0" fontId="6" fillId="0" borderId="14" xfId="0" applyFont="1" applyBorder="1"/>
    <xf numFmtId="0" fontId="6" fillId="2" borderId="16" xfId="0" applyFont="1" applyFill="1" applyBorder="1"/>
    <xf numFmtId="0" fontId="6" fillId="2" borderId="14" xfId="0" applyFont="1" applyFill="1" applyBorder="1"/>
    <xf numFmtId="0" fontId="2" fillId="2" borderId="14" xfId="0" applyFont="1" applyFill="1" applyBorder="1" applyAlignment="1">
      <alignment horizontal="center"/>
    </xf>
    <xf numFmtId="0" fontId="0" fillId="2" borderId="14" xfId="0" applyFill="1" applyBorder="1"/>
    <xf numFmtId="3" fontId="0" fillId="2" borderId="14" xfId="0" applyNumberFormat="1" applyFill="1" applyBorder="1"/>
    <xf numFmtId="0" fontId="7" fillId="2" borderId="14" xfId="0" applyFont="1" applyFill="1" applyBorder="1"/>
    <xf numFmtId="0" fontId="7" fillId="2" borderId="17" xfId="0" applyFont="1" applyFill="1" applyBorder="1"/>
    <xf numFmtId="3" fontId="0" fillId="0" borderId="0" xfId="0" applyNumberFormat="1"/>
    <xf numFmtId="3" fontId="8" fillId="0" borderId="14" xfId="0" applyNumberFormat="1" applyFont="1" applyBorder="1"/>
    <xf numFmtId="0" fontId="6" fillId="4" borderId="16" xfId="0" applyFont="1" applyFill="1" applyBorder="1" applyAlignment="1">
      <alignment vertical="top"/>
    </xf>
    <xf numFmtId="0" fontId="6" fillId="4" borderId="14" xfId="0" applyFont="1" applyFill="1" applyBorder="1" applyAlignment="1">
      <alignment vertical="top"/>
    </xf>
    <xf numFmtId="0" fontId="2" fillId="4" borderId="14" xfId="0" applyFont="1" applyFill="1" applyBorder="1" applyAlignment="1">
      <alignment horizontal="center"/>
    </xf>
    <xf numFmtId="0" fontId="0" fillId="4" borderId="14" xfId="0" applyFill="1" applyBorder="1"/>
    <xf numFmtId="3" fontId="7" fillId="4" borderId="14" xfId="0" applyNumberFormat="1" applyFont="1" applyFill="1" applyBorder="1"/>
    <xf numFmtId="3" fontId="0" fillId="4" borderId="14" xfId="0" applyNumberFormat="1" applyFill="1" applyBorder="1"/>
    <xf numFmtId="0" fontId="6" fillId="2" borderId="16" xfId="0" applyFont="1" applyFill="1" applyBorder="1" applyAlignment="1">
      <alignment vertical="top"/>
    </xf>
    <xf numFmtId="0" fontId="6" fillId="2" borderId="14" xfId="0" applyFont="1" applyFill="1" applyBorder="1" applyAlignment="1">
      <alignment vertical="top"/>
    </xf>
    <xf numFmtId="3" fontId="6" fillId="2" borderId="16" xfId="0" applyNumberFormat="1" applyFont="1" applyFill="1" applyBorder="1" applyAlignment="1">
      <alignment horizontal="left" vertical="top"/>
    </xf>
    <xf numFmtId="3" fontId="6" fillId="2" borderId="14" xfId="0" applyNumberFormat="1" applyFont="1" applyFill="1" applyBorder="1" applyAlignment="1">
      <alignment horizontal="left" vertical="top"/>
    </xf>
    <xf numFmtId="3" fontId="2" fillId="2" borderId="14" xfId="0" applyNumberFormat="1" applyFon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3" fontId="6" fillId="0" borderId="16" xfId="0" applyNumberFormat="1" applyFont="1" applyBorder="1" applyAlignment="1">
      <alignment horizontal="left" vertical="top"/>
    </xf>
    <xf numFmtId="3" fontId="6" fillId="0" borderId="14" xfId="0" applyNumberFormat="1" applyFont="1" applyBorder="1" applyAlignment="1">
      <alignment horizontal="left" vertical="top"/>
    </xf>
    <xf numFmtId="3" fontId="2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0" fontId="0" fillId="2" borderId="16" xfId="0" applyFill="1" applyBorder="1" applyAlignment="1">
      <alignment vertical="top"/>
    </xf>
    <xf numFmtId="0" fontId="0" fillId="2" borderId="14" xfId="0" applyFill="1" applyBorder="1" applyAlignment="1">
      <alignment vertical="top"/>
    </xf>
    <xf numFmtId="3" fontId="8" fillId="2" borderId="14" xfId="0" applyNumberFormat="1" applyFont="1" applyFill="1" applyBorder="1"/>
    <xf numFmtId="3" fontId="9" fillId="0" borderId="16" xfId="0" applyNumberFormat="1" applyFont="1" applyBorder="1" applyAlignment="1">
      <alignment horizontal="left" vertical="top"/>
    </xf>
    <xf numFmtId="3" fontId="9" fillId="0" borderId="14" xfId="0" applyNumberFormat="1" applyFont="1" applyBorder="1" applyAlignment="1">
      <alignment horizontal="left" vertical="top"/>
    </xf>
    <xf numFmtId="3" fontId="9" fillId="0" borderId="14" xfId="0" applyNumberFormat="1" applyFont="1" applyBorder="1" applyAlignment="1">
      <alignment horizontal="center" vertical="center"/>
    </xf>
    <xf numFmtId="3" fontId="10" fillId="0" borderId="14" xfId="0" applyNumberFormat="1" applyFont="1" applyBorder="1" applyAlignment="1">
      <alignment horizontal="center" vertical="center"/>
    </xf>
    <xf numFmtId="3" fontId="11" fillId="3" borderId="14" xfId="0" applyNumberFormat="1" applyFont="1" applyFill="1" applyBorder="1"/>
    <xf numFmtId="3" fontId="10" fillId="0" borderId="14" xfId="0" applyNumberFormat="1" applyFont="1" applyBorder="1"/>
    <xf numFmtId="3" fontId="11" fillId="5" borderId="14" xfId="0" applyNumberFormat="1" applyFont="1" applyFill="1" applyBorder="1"/>
    <xf numFmtId="3" fontId="11" fillId="0" borderId="14" xfId="0" applyNumberFormat="1" applyFont="1" applyBorder="1"/>
    <xf numFmtId="3" fontId="12" fillId="2" borderId="16" xfId="0" applyNumberFormat="1" applyFont="1" applyFill="1" applyBorder="1" applyAlignment="1">
      <alignment horizontal="left" vertical="top"/>
    </xf>
    <xf numFmtId="3" fontId="12" fillId="2" borderId="14" xfId="0" applyNumberFormat="1" applyFont="1" applyFill="1" applyBorder="1" applyAlignment="1">
      <alignment horizontal="left" vertical="top"/>
    </xf>
    <xf numFmtId="3" fontId="12" fillId="2" borderId="14" xfId="0" applyNumberFormat="1" applyFont="1" applyFill="1" applyBorder="1" applyAlignment="1">
      <alignment horizontal="center" vertical="center"/>
    </xf>
    <xf numFmtId="3" fontId="13" fillId="2" borderId="14" xfId="0" applyNumberFormat="1" applyFont="1" applyFill="1" applyBorder="1" applyAlignment="1">
      <alignment horizontal="center" vertical="center"/>
    </xf>
    <xf numFmtId="3" fontId="13" fillId="2" borderId="14" xfId="0" applyNumberFormat="1" applyFont="1" applyFill="1" applyBorder="1"/>
    <xf numFmtId="3" fontId="12" fillId="0" borderId="16" xfId="0" applyNumberFormat="1" applyFont="1" applyBorder="1" applyAlignment="1">
      <alignment horizontal="left" vertical="top"/>
    </xf>
    <xf numFmtId="3" fontId="12" fillId="0" borderId="14" xfId="0" applyNumberFormat="1" applyFont="1" applyBorder="1" applyAlignment="1">
      <alignment horizontal="left" vertical="top"/>
    </xf>
    <xf numFmtId="3" fontId="12" fillId="0" borderId="14" xfId="0" applyNumberFormat="1" applyFont="1" applyBorder="1" applyAlignment="1">
      <alignment horizontal="center" vertical="center"/>
    </xf>
    <xf numFmtId="3" fontId="13" fillId="0" borderId="14" xfId="0" applyNumberFormat="1" applyFont="1" applyBorder="1" applyAlignment="1">
      <alignment horizontal="center" vertical="center"/>
    </xf>
    <xf numFmtId="3" fontId="13" fillId="0" borderId="14" xfId="0" applyNumberFormat="1" applyFont="1" applyBorder="1"/>
    <xf numFmtId="3" fontId="12" fillId="0" borderId="18" xfId="0" applyNumberFormat="1" applyFont="1" applyBorder="1" applyAlignment="1">
      <alignment horizontal="left" vertical="top"/>
    </xf>
    <xf numFmtId="3" fontId="12" fillId="0" borderId="19" xfId="0" applyNumberFormat="1" applyFont="1" applyBorder="1" applyAlignment="1">
      <alignment horizontal="left" vertical="top"/>
    </xf>
    <xf numFmtId="3" fontId="12" fillId="0" borderId="19" xfId="0" applyNumberFormat="1" applyFont="1" applyBorder="1" applyAlignment="1">
      <alignment horizontal="center" vertical="center"/>
    </xf>
    <xf numFmtId="3" fontId="13" fillId="0" borderId="19" xfId="0" applyNumberFormat="1" applyFont="1" applyBorder="1" applyAlignment="1">
      <alignment horizontal="center" vertical="center"/>
    </xf>
    <xf numFmtId="3" fontId="7" fillId="0" borderId="19" xfId="0" applyNumberFormat="1" applyFont="1" applyBorder="1"/>
    <xf numFmtId="3" fontId="13" fillId="0" borderId="19" xfId="0" applyNumberFormat="1" applyFont="1" applyBorder="1"/>
    <xf numFmtId="3" fontId="8" fillId="0" borderId="19" xfId="0" applyNumberFormat="1" applyFont="1" applyBorder="1"/>
    <xf numFmtId="0" fontId="7" fillId="0" borderId="19" xfId="0" applyFont="1" applyBorder="1"/>
    <xf numFmtId="0" fontId="7" fillId="0" borderId="20" xfId="0" applyFont="1" applyBorder="1"/>
    <xf numFmtId="0" fontId="0" fillId="6" borderId="0" xfId="0" applyFill="1"/>
    <xf numFmtId="3" fontId="0" fillId="6" borderId="0" xfId="0" applyNumberFormat="1" applyFill="1"/>
    <xf numFmtId="0" fontId="0" fillId="0" borderId="0" xfId="0" applyAlignment="1">
      <alignment vertical="top"/>
    </xf>
    <xf numFmtId="3" fontId="14" fillId="0" borderId="0" xfId="0" applyNumberFormat="1" applyFont="1"/>
    <xf numFmtId="0" fontId="0" fillId="2" borderId="0" xfId="0" applyFill="1"/>
    <xf numFmtId="3" fontId="7" fillId="2" borderId="0" xfId="0" applyNumberFormat="1" applyFont="1" applyFill="1"/>
    <xf numFmtId="3" fontId="7" fillId="0" borderId="0" xfId="0" applyNumberFormat="1" applyFont="1"/>
    <xf numFmtId="3" fontId="6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5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105"/>
  <sheetViews>
    <sheetView workbookViewId="0" zoomScale="80" zoomScaleNormal="80">
      <selection activeCell="A12" sqref="A12"/>
    </sheetView>
  </sheetViews>
  <sheetFormatPr defaultRowHeight="15" outlineLevelRow="0" outlineLevelCol="0" x14ac:dyDescent="0.25"/>
  <cols>
    <col min="1" max="1" width="17.140625" customWidth="1"/>
    <col min="2" max="2" width="56.85546875" customWidth="1"/>
    <col min="4" max="4" width="4.28515625" customWidth="1"/>
    <col min="5" max="5" width="19.28515625" customWidth="1"/>
    <col min="6" max="6" width="2.7109375" customWidth="1"/>
    <col min="7" max="7" width="7.42578125" customWidth="1"/>
    <col min="8" max="8" width="13.28515625" customWidth="1"/>
    <col min="9" max="9" width="18.85546875" customWidth="1"/>
    <col min="10" max="10" width="17.28515625" customWidth="1"/>
  </cols>
  <sheetData>
    <row r="1" ht="15.75" customHeight="1" spans="1:10" x14ac:dyDescent="0.25">
      <c r="A1" t="s">
        <v>0</v>
      </c>
      <c r="D1" s="1"/>
      <c r="E1" s="2" t="s">
        <v>1</v>
      </c>
      <c r="F1" s="3"/>
      <c r="J1" s="4">
        <v>46274</v>
      </c>
    </row>
    <row r="2" ht="15.75" customHeight="1" spans="1:10" x14ac:dyDescent="0.25">
      <c r="A2" t="s">
        <v>2</v>
      </c>
      <c r="D2" s="5"/>
      <c r="E2" s="6" t="s">
        <v>3</v>
      </c>
      <c r="F2" s="7"/>
      <c r="J2" s="8">
        <v>0.75</v>
      </c>
    </row>
    <row r="3" ht="16.5" customHeight="1" spans="1:6" x14ac:dyDescent="0.25">
      <c r="A3" t="s">
        <v>4</v>
      </c>
      <c r="D3" s="9"/>
      <c r="E3" s="10" t="s">
        <v>5</v>
      </c>
      <c r="F3" s="11"/>
    </row>
    <row r="4" ht="35.1" customHeight="1" spans="1:10" s="12" customFormat="1" x14ac:dyDescent="0.25">
      <c r="A4" s="13" t="s">
        <v>6</v>
      </c>
      <c r="B4" s="14" t="s">
        <v>7</v>
      </c>
      <c r="C4" s="15" t="s">
        <v>8</v>
      </c>
      <c r="D4" s="14"/>
      <c r="E4" s="14" t="s">
        <v>9</v>
      </c>
      <c r="F4" s="14"/>
      <c r="G4" s="14" t="s">
        <v>10</v>
      </c>
      <c r="H4" s="16" t="s">
        <v>11</v>
      </c>
      <c r="I4" s="17" t="s">
        <v>12</v>
      </c>
      <c r="J4" s="18" t="s">
        <v>13</v>
      </c>
    </row>
    <row r="5" ht="27.95" customHeight="1" spans="1:10" x14ac:dyDescent="0.25">
      <c r="A5" s="19" t="s">
        <v>14</v>
      </c>
      <c r="B5" s="20" t="s">
        <v>15</v>
      </c>
      <c r="C5" s="21">
        <v>80</v>
      </c>
      <c r="D5" s="22"/>
      <c r="E5" s="23">
        <f>32966+12480</f>
        <v>45446</v>
      </c>
      <c r="F5" s="24"/>
      <c r="G5" s="24" t="s">
        <v>16</v>
      </c>
      <c r="H5" s="25">
        <f>+E5/C5</f>
        <v>568.075</v>
      </c>
      <c r="I5" s="26">
        <v>804</v>
      </c>
      <c r="J5" s="27">
        <f t="shared" ref="J5:J36" si="0">IFERROR(ROUND((+H5/I5),1),0)</f>
        <v>0.7</v>
      </c>
    </row>
    <row r="6" ht="27.95" customHeight="1" spans="1:10" x14ac:dyDescent="0.25">
      <c r="A6" s="28" t="s">
        <v>17</v>
      </c>
      <c r="B6" s="29" t="s">
        <v>18</v>
      </c>
      <c r="C6" s="30">
        <v>80</v>
      </c>
      <c r="D6" s="31"/>
      <c r="E6" s="32">
        <f>25430-2</f>
        <v>25428</v>
      </c>
      <c r="F6" s="33"/>
      <c r="G6" s="33" t="s">
        <v>16</v>
      </c>
      <c r="H6" s="34">
        <f t="shared" ref="H6:H69" si="1">+E6/C6</f>
        <v>317.85</v>
      </c>
      <c r="I6" s="35">
        <v>111</v>
      </c>
      <c r="J6" s="36">
        <f t="shared" si="0"/>
        <v>2.9</v>
      </c>
    </row>
    <row r="7" ht="27.95" customHeight="1" spans="1:10" x14ac:dyDescent="0.25">
      <c r="A7" s="28" t="s">
        <v>19</v>
      </c>
      <c r="B7" s="29" t="s">
        <v>20</v>
      </c>
      <c r="C7" s="30">
        <v>80</v>
      </c>
      <c r="D7" s="31"/>
      <c r="E7" s="34">
        <f>23667+11200</f>
        <v>34867</v>
      </c>
      <c r="F7" s="33"/>
      <c r="G7" s="33" t="s">
        <v>16</v>
      </c>
      <c r="H7" s="34">
        <f t="shared" si="1"/>
        <v>435.8375</v>
      </c>
      <c r="I7" s="35">
        <v>240</v>
      </c>
      <c r="J7" s="36">
        <f t="shared" si="0"/>
        <v>1.8</v>
      </c>
    </row>
    <row r="8" ht="27.95" customHeight="1" spans="1:10" x14ac:dyDescent="0.25">
      <c r="A8" s="28" t="s">
        <v>21</v>
      </c>
      <c r="B8" s="29" t="s">
        <v>22</v>
      </c>
      <c r="C8" s="30">
        <v>80</v>
      </c>
      <c r="D8" s="31"/>
      <c r="E8" s="34">
        <v>13467</v>
      </c>
      <c r="F8" s="33"/>
      <c r="G8" s="33" t="s">
        <v>16</v>
      </c>
      <c r="H8" s="34">
        <f t="shared" si="1"/>
        <v>168.3375</v>
      </c>
      <c r="I8" s="35">
        <v>83</v>
      </c>
      <c r="J8" s="36">
        <f t="shared" si="0"/>
        <v>2</v>
      </c>
    </row>
    <row r="9" ht="24.95" customHeight="1" spans="1:10" x14ac:dyDescent="0.25">
      <c r="A9" s="28" t="s">
        <v>23</v>
      </c>
      <c r="B9" s="29" t="s">
        <v>24</v>
      </c>
      <c r="C9" s="30">
        <v>80</v>
      </c>
      <c r="D9" s="31"/>
      <c r="E9" s="34">
        <v>0</v>
      </c>
      <c r="F9" s="33"/>
      <c r="G9" s="33" t="s">
        <v>16</v>
      </c>
      <c r="H9" s="34">
        <f t="shared" si="1"/>
        <v>0</v>
      </c>
      <c r="I9" s="35">
        <v>86</v>
      </c>
      <c r="J9" s="36">
        <f t="shared" si="0"/>
        <v>0</v>
      </c>
    </row>
    <row r="10" ht="27.95" customHeight="1" spans="1:10" x14ac:dyDescent="0.25">
      <c r="A10" s="28" t="s">
        <v>25</v>
      </c>
      <c r="B10" s="29" t="s">
        <v>26</v>
      </c>
      <c r="C10" s="30">
        <v>80</v>
      </c>
      <c r="D10" s="31"/>
      <c r="E10" s="34">
        <f>29744+9600</f>
        <v>39344</v>
      </c>
      <c r="F10" s="33"/>
      <c r="G10" s="33" t="s">
        <v>16</v>
      </c>
      <c r="H10" s="34">
        <f t="shared" si="1"/>
        <v>491.8</v>
      </c>
      <c r="I10" s="35">
        <v>261</v>
      </c>
      <c r="J10" s="36">
        <f t="shared" si="0"/>
        <v>1.9</v>
      </c>
    </row>
    <row r="11" ht="27.95" customHeight="1" hidden="1" spans="1:10" x14ac:dyDescent="0.25">
      <c r="A11" s="37" t="s">
        <v>27</v>
      </c>
      <c r="B11" s="38" t="s">
        <v>28</v>
      </c>
      <c r="C11" s="30">
        <v>80</v>
      </c>
      <c r="D11" s="31"/>
      <c r="E11" s="34">
        <v>0</v>
      </c>
      <c r="F11" s="33"/>
      <c r="G11" s="33" t="s">
        <v>16</v>
      </c>
      <c r="H11" s="34">
        <f t="shared" si="1"/>
        <v>0</v>
      </c>
      <c r="I11" s="35">
        <v>0</v>
      </c>
      <c r="J11" s="36">
        <f t="shared" si="0"/>
        <v>0</v>
      </c>
    </row>
    <row r="12" ht="27.95" customHeight="1" spans="1:10" x14ac:dyDescent="0.25">
      <c r="A12" s="37" t="s">
        <v>29</v>
      </c>
      <c r="B12" s="38" t="s">
        <v>30</v>
      </c>
      <c r="C12" s="30">
        <v>80</v>
      </c>
      <c r="D12" s="31"/>
      <c r="E12" s="34">
        <v>7568</v>
      </c>
      <c r="F12" s="33"/>
      <c r="G12" s="33" t="s">
        <v>16</v>
      </c>
      <c r="H12" s="34">
        <f t="shared" si="1"/>
        <v>94.6</v>
      </c>
      <c r="I12" s="35">
        <v>6</v>
      </c>
      <c r="J12" s="36">
        <f t="shared" si="0"/>
        <v>15.8</v>
      </c>
    </row>
    <row r="13" ht="27.95" customHeight="1" hidden="1" spans="1:10" x14ac:dyDescent="0.25">
      <c r="A13" s="37" t="s">
        <v>31</v>
      </c>
      <c r="B13" s="38" t="s">
        <v>32</v>
      </c>
      <c r="C13" s="30">
        <v>80</v>
      </c>
      <c r="D13" s="31"/>
      <c r="E13" s="34">
        <v>0</v>
      </c>
      <c r="F13" s="33"/>
      <c r="G13" s="33" t="s">
        <v>16</v>
      </c>
      <c r="H13" s="34">
        <f t="shared" si="1"/>
        <v>0</v>
      </c>
      <c r="I13" s="35">
        <v>0</v>
      </c>
      <c r="J13" s="36">
        <f t="shared" si="0"/>
        <v>0</v>
      </c>
    </row>
    <row r="14" ht="27.95" customHeight="1" spans="1:10" x14ac:dyDescent="0.25">
      <c r="A14" s="37" t="s">
        <v>33</v>
      </c>
      <c r="B14" s="38" t="s">
        <v>34</v>
      </c>
      <c r="C14" s="30">
        <v>80</v>
      </c>
      <c r="D14" s="31"/>
      <c r="E14" s="34">
        <f>6620+14160</f>
        <v>20780</v>
      </c>
      <c r="F14" s="31"/>
      <c r="G14" s="31" t="s">
        <v>35</v>
      </c>
      <c r="H14" s="34">
        <f t="shared" si="1"/>
        <v>259.75</v>
      </c>
      <c r="I14" s="35">
        <v>60</v>
      </c>
      <c r="J14" s="36">
        <f t="shared" si="0"/>
        <v>4.3</v>
      </c>
    </row>
    <row r="15" ht="27.95" customHeight="1" spans="1:10" x14ac:dyDescent="0.25">
      <c r="A15" s="37" t="s">
        <v>36</v>
      </c>
      <c r="B15" s="38" t="s">
        <v>37</v>
      </c>
      <c r="C15" s="30">
        <v>80</v>
      </c>
      <c r="D15" s="31"/>
      <c r="E15" s="34">
        <v>2409</v>
      </c>
      <c r="F15" s="31"/>
      <c r="G15" s="31" t="s">
        <v>35</v>
      </c>
      <c r="H15" s="34">
        <f t="shared" si="1"/>
        <v>30.1125</v>
      </c>
      <c r="I15" s="35">
        <v>6</v>
      </c>
      <c r="J15" s="36">
        <f t="shared" si="0"/>
        <v>5</v>
      </c>
    </row>
    <row r="16" ht="27.95" customHeight="1" spans="1:10" x14ac:dyDescent="0.25">
      <c r="A16" s="39" t="s">
        <v>38</v>
      </c>
      <c r="B16" s="40" t="s">
        <v>39</v>
      </c>
      <c r="C16" s="41">
        <v>78</v>
      </c>
      <c r="D16" s="42"/>
      <c r="E16" s="23">
        <f>7001+7090</f>
        <v>14091</v>
      </c>
      <c r="F16" s="43"/>
      <c r="G16" s="43" t="s">
        <v>35</v>
      </c>
      <c r="H16" s="23">
        <f t="shared" si="1"/>
        <v>180.65384615384616</v>
      </c>
      <c r="I16" s="44">
        <v>118</v>
      </c>
      <c r="J16" s="45">
        <f t="shared" si="0"/>
        <v>1.5</v>
      </c>
    </row>
    <row r="17" ht="27.95" customHeight="1" spans="1:10" x14ac:dyDescent="0.25">
      <c r="A17" s="37" t="s">
        <v>40</v>
      </c>
      <c r="B17" s="38" t="s">
        <v>41</v>
      </c>
      <c r="C17" s="30">
        <v>78</v>
      </c>
      <c r="D17" s="31"/>
      <c r="E17" s="34">
        <v>3372</v>
      </c>
      <c r="F17" s="33"/>
      <c r="G17" s="33" t="s">
        <v>35</v>
      </c>
      <c r="H17" s="34">
        <f t="shared" si="1"/>
        <v>43.23076923076923</v>
      </c>
      <c r="I17" s="35">
        <v>14</v>
      </c>
      <c r="J17" s="36">
        <f t="shared" si="0"/>
        <v>3.1</v>
      </c>
    </row>
    <row r="18" ht="27.95" customHeight="1" spans="1:10" x14ac:dyDescent="0.25">
      <c r="A18" s="37" t="s">
        <v>42</v>
      </c>
      <c r="B18" s="38" t="s">
        <v>43</v>
      </c>
      <c r="C18" s="30">
        <v>78</v>
      </c>
      <c r="D18" s="31"/>
      <c r="E18" s="34">
        <v>23839</v>
      </c>
      <c r="F18" s="33"/>
      <c r="G18" s="33" t="s">
        <v>35</v>
      </c>
      <c r="H18" s="34">
        <f t="shared" si="1"/>
        <v>305.62820512820514</v>
      </c>
      <c r="I18" s="35">
        <v>49</v>
      </c>
      <c r="J18" s="36">
        <f t="shared" si="0"/>
        <v>6.2</v>
      </c>
    </row>
    <row r="19" ht="27.95" customHeight="1" spans="1:10" x14ac:dyDescent="0.25">
      <c r="A19" s="37" t="s">
        <v>44</v>
      </c>
      <c r="B19" s="38" t="s">
        <v>45</v>
      </c>
      <c r="C19" s="30">
        <v>78</v>
      </c>
      <c r="D19" s="31"/>
      <c r="E19" s="34">
        <v>3971</v>
      </c>
      <c r="F19" s="33"/>
      <c r="G19" s="33" t="s">
        <v>35</v>
      </c>
      <c r="H19" s="34">
        <f t="shared" si="1"/>
        <v>50.91025641025641</v>
      </c>
      <c r="I19" s="35">
        <v>45</v>
      </c>
      <c r="J19" s="36">
        <f t="shared" si="0"/>
        <v>1.1</v>
      </c>
    </row>
    <row r="20" ht="27.95" customHeight="1" hidden="1" spans="1:10" x14ac:dyDescent="0.25">
      <c r="A20" s="37" t="s">
        <v>46</v>
      </c>
      <c r="B20" s="38" t="s">
        <v>47</v>
      </c>
      <c r="C20" s="30">
        <v>78</v>
      </c>
      <c r="D20" s="31"/>
      <c r="E20" s="34">
        <v>0</v>
      </c>
      <c r="F20" s="31"/>
      <c r="G20" s="31" t="s">
        <v>35</v>
      </c>
      <c r="H20" s="34">
        <f t="shared" si="1"/>
        <v>0</v>
      </c>
      <c r="I20" s="35">
        <v>0</v>
      </c>
      <c r="J20" s="36">
        <f t="shared" si="0"/>
        <v>0</v>
      </c>
    </row>
    <row r="21" ht="27.95" customHeight="1" spans="1:10" x14ac:dyDescent="0.25">
      <c r="A21" s="37" t="s">
        <v>48</v>
      </c>
      <c r="B21" s="38" t="s">
        <v>49</v>
      </c>
      <c r="C21" s="30">
        <v>78</v>
      </c>
      <c r="D21" s="31"/>
      <c r="E21" s="34">
        <v>3176</v>
      </c>
      <c r="F21" s="33"/>
      <c r="G21" s="31" t="s">
        <v>35</v>
      </c>
      <c r="H21" s="34">
        <f t="shared" si="1"/>
        <v>40.717948717948715</v>
      </c>
      <c r="I21" s="35">
        <v>7</v>
      </c>
      <c r="J21" s="36">
        <f t="shared" si="0"/>
        <v>5.8</v>
      </c>
    </row>
    <row r="22" ht="27.95" customHeight="1" spans="1:10" x14ac:dyDescent="0.25">
      <c r="A22" s="37" t="s">
        <v>50</v>
      </c>
      <c r="B22" s="38" t="s">
        <v>51</v>
      </c>
      <c r="C22" s="30">
        <v>78</v>
      </c>
      <c r="D22" s="31"/>
      <c r="E22" s="34">
        <v>1</v>
      </c>
      <c r="F22" s="33"/>
      <c r="G22" s="31" t="s">
        <v>35</v>
      </c>
      <c r="H22" s="34">
        <f t="shared" si="1"/>
        <v>0.01282051282051282</v>
      </c>
      <c r="I22" s="35">
        <v>8</v>
      </c>
      <c r="J22" s="36">
        <f t="shared" si="0"/>
        <v>0</v>
      </c>
    </row>
    <row r="23" ht="27.95" customHeight="1" hidden="1" spans="1:10" x14ac:dyDescent="0.25">
      <c r="A23" s="37" t="s">
        <v>52</v>
      </c>
      <c r="B23" s="38" t="s">
        <v>53</v>
      </c>
      <c r="C23" s="30">
        <v>78</v>
      </c>
      <c r="D23" s="31"/>
      <c r="E23" s="34">
        <v>0</v>
      </c>
      <c r="F23" s="33"/>
      <c r="G23" s="31" t="s">
        <v>35</v>
      </c>
      <c r="H23" s="34">
        <f t="shared" si="1"/>
        <v>0</v>
      </c>
      <c r="I23" s="35">
        <v>0</v>
      </c>
      <c r="J23" s="36">
        <f t="shared" si="0"/>
        <v>0</v>
      </c>
    </row>
    <row r="24" ht="27.95" customHeight="1" spans="1:10" x14ac:dyDescent="0.25">
      <c r="A24" s="37" t="s">
        <v>54</v>
      </c>
      <c r="B24" s="38" t="s">
        <v>55</v>
      </c>
      <c r="C24" s="30">
        <v>78</v>
      </c>
      <c r="D24" s="31"/>
      <c r="E24" s="34">
        <v>5240</v>
      </c>
      <c r="F24" s="33"/>
      <c r="G24" s="31" t="s">
        <v>35</v>
      </c>
      <c r="H24" s="34">
        <f t="shared" si="1"/>
        <v>67.17948717948718</v>
      </c>
      <c r="I24" s="35">
        <v>9</v>
      </c>
      <c r="J24" s="36">
        <f t="shared" si="0"/>
        <v>7.5</v>
      </c>
    </row>
    <row r="25" ht="27.95" customHeight="1" spans="1:10" x14ac:dyDescent="0.25">
      <c r="A25" s="39" t="s">
        <v>56</v>
      </c>
      <c r="B25" s="40" t="s">
        <v>57</v>
      </c>
      <c r="C25" s="41">
        <v>160</v>
      </c>
      <c r="D25" s="42"/>
      <c r="E25" s="23">
        <v>1324</v>
      </c>
      <c r="F25" s="42"/>
      <c r="G25" s="42" t="s">
        <v>35</v>
      </c>
      <c r="H25" s="23">
        <f t="shared" si="1"/>
        <v>8.275</v>
      </c>
      <c r="I25" s="44">
        <v>46</v>
      </c>
      <c r="J25" s="45">
        <f t="shared" si="0"/>
        <v>0.2</v>
      </c>
    </row>
    <row r="26" ht="27.95" customHeight="1" spans="1:10" x14ac:dyDescent="0.25">
      <c r="A26" s="37" t="s">
        <v>58</v>
      </c>
      <c r="B26" s="38" t="s">
        <v>59</v>
      </c>
      <c r="C26" s="30">
        <v>160</v>
      </c>
      <c r="D26" s="31"/>
      <c r="E26" s="34">
        <v>8553</v>
      </c>
      <c r="F26" s="31"/>
      <c r="G26" s="31" t="s">
        <v>35</v>
      </c>
      <c r="H26" s="34">
        <f t="shared" si="1"/>
        <v>53.45625</v>
      </c>
      <c r="I26" s="35">
        <v>6</v>
      </c>
      <c r="J26" s="36">
        <f t="shared" si="0"/>
        <v>8.9</v>
      </c>
    </row>
    <row r="27" ht="27.95" customHeight="1" spans="1:10" x14ac:dyDescent="0.25">
      <c r="A27" s="37" t="s">
        <v>60</v>
      </c>
      <c r="B27" s="38" t="s">
        <v>61</v>
      </c>
      <c r="C27" s="30">
        <v>160</v>
      </c>
      <c r="D27" s="31"/>
      <c r="E27" s="34">
        <f>13561+4800</f>
        <v>18361</v>
      </c>
      <c r="F27" s="31"/>
      <c r="G27" s="31" t="s">
        <v>35</v>
      </c>
      <c r="H27" s="34">
        <f t="shared" si="1"/>
        <v>114.75625</v>
      </c>
      <c r="I27" s="35">
        <v>20</v>
      </c>
      <c r="J27" s="36">
        <f t="shared" si="0"/>
        <v>5.7</v>
      </c>
    </row>
    <row r="28" ht="27.95" customHeight="1" hidden="1" spans="1:10" x14ac:dyDescent="0.25">
      <c r="A28" s="37" t="s">
        <v>62</v>
      </c>
      <c r="B28" s="38" t="s">
        <v>63</v>
      </c>
      <c r="C28" s="30">
        <v>160</v>
      </c>
      <c r="D28" s="31"/>
      <c r="E28" s="34">
        <v>0</v>
      </c>
      <c r="F28" s="31"/>
      <c r="G28" s="31" t="s">
        <v>35</v>
      </c>
      <c r="H28" s="34">
        <f t="shared" si="1"/>
        <v>0</v>
      </c>
      <c r="I28" s="35">
        <v>0</v>
      </c>
      <c r="J28" s="36">
        <f t="shared" si="0"/>
        <v>0</v>
      </c>
    </row>
    <row r="29" ht="27.95" customHeight="1" spans="1:10" x14ac:dyDescent="0.25">
      <c r="A29" s="37" t="s">
        <v>64</v>
      </c>
      <c r="B29" s="38" t="s">
        <v>65</v>
      </c>
      <c r="C29" s="30">
        <v>160</v>
      </c>
      <c r="D29" s="31"/>
      <c r="E29" s="34">
        <v>12337</v>
      </c>
      <c r="F29" s="31"/>
      <c r="G29" s="31" t="s">
        <v>35</v>
      </c>
      <c r="H29" s="34">
        <f t="shared" si="1"/>
        <v>77.10625</v>
      </c>
      <c r="I29" s="35">
        <v>20</v>
      </c>
      <c r="J29" s="36">
        <f t="shared" si="0"/>
        <v>3.9</v>
      </c>
    </row>
    <row r="30" ht="27.95" customHeight="1" hidden="1" spans="1:10" x14ac:dyDescent="0.25">
      <c r="A30" s="37" t="s">
        <v>66</v>
      </c>
      <c r="B30" s="38" t="s">
        <v>67</v>
      </c>
      <c r="C30" s="30">
        <v>160</v>
      </c>
      <c r="D30" s="31"/>
      <c r="E30" s="34">
        <v>0</v>
      </c>
      <c r="F30" s="31"/>
      <c r="G30" s="31" t="s">
        <v>35</v>
      </c>
      <c r="H30" s="34">
        <f t="shared" si="1"/>
        <v>0</v>
      </c>
      <c r="I30" s="35">
        <v>0</v>
      </c>
      <c r="J30" s="36">
        <f t="shared" si="0"/>
        <v>0</v>
      </c>
    </row>
    <row r="31" ht="27.95" customHeight="1" hidden="1" spans="1:10" x14ac:dyDescent="0.25">
      <c r="A31" s="37" t="s">
        <v>68</v>
      </c>
      <c r="B31" s="38" t="s">
        <v>69</v>
      </c>
      <c r="C31" s="30">
        <v>160</v>
      </c>
      <c r="D31" s="31"/>
      <c r="E31" s="34">
        <v>0</v>
      </c>
      <c r="F31" s="31"/>
      <c r="G31" s="31" t="s">
        <v>35</v>
      </c>
      <c r="H31" s="34">
        <f t="shared" si="1"/>
        <v>0</v>
      </c>
      <c r="I31" s="35">
        <v>0</v>
      </c>
      <c r="J31" s="36">
        <f t="shared" si="0"/>
        <v>0</v>
      </c>
    </row>
    <row r="32" ht="27.95" customHeight="1" hidden="1" spans="1:10" x14ac:dyDescent="0.25">
      <c r="A32" s="37" t="s">
        <v>70</v>
      </c>
      <c r="B32" s="38" t="s">
        <v>71</v>
      </c>
      <c r="C32" s="30">
        <v>160</v>
      </c>
      <c r="D32" s="31"/>
      <c r="E32" s="34">
        <v>0</v>
      </c>
      <c r="F32" s="31"/>
      <c r="G32" s="31" t="s">
        <v>35</v>
      </c>
      <c r="H32" s="34">
        <f t="shared" si="1"/>
        <v>0</v>
      </c>
      <c r="I32" s="35">
        <v>0</v>
      </c>
      <c r="J32" s="36">
        <f t="shared" si="0"/>
        <v>0</v>
      </c>
    </row>
    <row r="33" ht="27.95" customHeight="1" spans="1:11" x14ac:dyDescent="0.25">
      <c r="A33" s="37" t="s">
        <v>72</v>
      </c>
      <c r="B33" s="38" t="s">
        <v>73</v>
      </c>
      <c r="C33" s="30">
        <v>160</v>
      </c>
      <c r="D33" s="31"/>
      <c r="E33" s="34">
        <v>8649</v>
      </c>
      <c r="F33" s="31"/>
      <c r="G33" s="31" t="s">
        <v>35</v>
      </c>
      <c r="H33" s="34">
        <f t="shared" si="1"/>
        <v>54.05625</v>
      </c>
      <c r="I33" s="35">
        <v>4</v>
      </c>
      <c r="J33" s="36">
        <f t="shared" si="0"/>
        <v>13.5</v>
      </c>
      <c r="K33" s="46"/>
    </row>
    <row r="34" ht="27.95" customHeight="1" hidden="1" spans="1:10" x14ac:dyDescent="0.25">
      <c r="A34" s="28" t="s">
        <v>74</v>
      </c>
      <c r="B34" s="29" t="s">
        <v>75</v>
      </c>
      <c r="C34" s="30">
        <v>70</v>
      </c>
      <c r="D34" s="31"/>
      <c r="E34" s="34">
        <v>0</v>
      </c>
      <c r="F34" s="33"/>
      <c r="G34" s="33" t="s">
        <v>16</v>
      </c>
      <c r="H34" s="34">
        <f t="shared" si="1"/>
        <v>0</v>
      </c>
      <c r="I34" s="35">
        <v>0</v>
      </c>
      <c r="J34" s="36">
        <f t="shared" si="0"/>
        <v>0</v>
      </c>
    </row>
    <row r="35" ht="27.95" customHeight="1" hidden="1" spans="1:10" x14ac:dyDescent="0.25">
      <c r="A35" s="28" t="s">
        <v>76</v>
      </c>
      <c r="B35" s="29" t="s">
        <v>77</v>
      </c>
      <c r="C35" s="30">
        <v>70</v>
      </c>
      <c r="D35" s="31"/>
      <c r="E35" s="47">
        <v>0</v>
      </c>
      <c r="F35" s="33"/>
      <c r="G35" s="33" t="s">
        <v>16</v>
      </c>
      <c r="H35" s="34">
        <f t="shared" si="1"/>
        <v>0</v>
      </c>
      <c r="I35" s="35">
        <v>0</v>
      </c>
      <c r="J35" s="36">
        <f t="shared" si="0"/>
        <v>0</v>
      </c>
    </row>
    <row r="36" ht="27.95" customHeight="1" hidden="1" spans="1:10" x14ac:dyDescent="0.25">
      <c r="A36" s="28" t="s">
        <v>78</v>
      </c>
      <c r="B36" s="29" t="s">
        <v>79</v>
      </c>
      <c r="C36" s="30">
        <v>70</v>
      </c>
      <c r="D36" s="31"/>
      <c r="E36" s="47">
        <v>0</v>
      </c>
      <c r="F36" s="33"/>
      <c r="G36" s="33" t="s">
        <v>16</v>
      </c>
      <c r="H36" s="34">
        <f t="shared" si="1"/>
        <v>0</v>
      </c>
      <c r="I36" s="35">
        <v>0</v>
      </c>
      <c r="J36" s="36">
        <f t="shared" si="0"/>
        <v>0</v>
      </c>
    </row>
    <row r="37" ht="27.95" customHeight="1" hidden="1" spans="1:10" x14ac:dyDescent="0.25">
      <c r="A37" s="28" t="s">
        <v>80</v>
      </c>
      <c r="B37" s="29" t="s">
        <v>81</v>
      </c>
      <c r="C37" s="30">
        <v>70</v>
      </c>
      <c r="D37" s="31"/>
      <c r="E37" s="47">
        <v>0</v>
      </c>
      <c r="F37" s="33"/>
      <c r="G37" s="33" t="s">
        <v>16</v>
      </c>
      <c r="H37" s="34">
        <f t="shared" si="1"/>
        <v>0</v>
      </c>
      <c r="I37" s="35">
        <v>0</v>
      </c>
      <c r="J37" s="36">
        <f t="shared" ref="J37:J68" si="2">IFERROR(ROUND((+H37/I37),1),0)</f>
        <v>0</v>
      </c>
    </row>
    <row r="38" ht="27.95" customHeight="1" hidden="1" spans="1:10" x14ac:dyDescent="0.25">
      <c r="A38" s="28" t="s">
        <v>82</v>
      </c>
      <c r="B38" s="29" t="s">
        <v>83</v>
      </c>
      <c r="C38" s="30">
        <v>70</v>
      </c>
      <c r="D38" s="31"/>
      <c r="E38" s="34">
        <v>0</v>
      </c>
      <c r="F38" s="33"/>
      <c r="G38" s="33" t="s">
        <v>16</v>
      </c>
      <c r="H38" s="34">
        <f t="shared" si="1"/>
        <v>0</v>
      </c>
      <c r="I38" s="35">
        <v>0</v>
      </c>
      <c r="J38" s="36">
        <f t="shared" si="2"/>
        <v>0</v>
      </c>
    </row>
    <row r="39" ht="27.95" customHeight="1" hidden="1" spans="1:10" x14ac:dyDescent="0.25">
      <c r="A39" s="28" t="s">
        <v>84</v>
      </c>
      <c r="B39" s="29" t="s">
        <v>85</v>
      </c>
      <c r="C39" s="30">
        <v>70</v>
      </c>
      <c r="D39" s="31"/>
      <c r="E39" s="34">
        <v>0</v>
      </c>
      <c r="F39" s="33"/>
      <c r="G39" s="33" t="s">
        <v>16</v>
      </c>
      <c r="H39" s="34">
        <f t="shared" si="1"/>
        <v>0</v>
      </c>
      <c r="I39" s="35">
        <v>0</v>
      </c>
      <c r="J39" s="36">
        <f t="shared" si="2"/>
        <v>0</v>
      </c>
    </row>
    <row r="40" ht="27.95" customHeight="1" hidden="1" spans="1:10" x14ac:dyDescent="0.25">
      <c r="A40" s="48" t="s">
        <v>86</v>
      </c>
      <c r="B40" s="49" t="s">
        <v>87</v>
      </c>
      <c r="C40" s="50">
        <v>70</v>
      </c>
      <c r="D40" s="51"/>
      <c r="E40" s="52">
        <v>0</v>
      </c>
      <c r="F40" s="53"/>
      <c r="G40" s="53" t="s">
        <v>35</v>
      </c>
      <c r="H40" s="52">
        <f t="shared" si="1"/>
        <v>0</v>
      </c>
      <c r="I40" s="35">
        <v>0</v>
      </c>
      <c r="J40" s="36">
        <f t="shared" si="2"/>
        <v>0</v>
      </c>
    </row>
    <row r="41" ht="27.95" customHeight="1" hidden="1" spans="1:10" x14ac:dyDescent="0.25">
      <c r="A41" s="48" t="s">
        <v>88</v>
      </c>
      <c r="B41" s="49" t="s">
        <v>89</v>
      </c>
      <c r="C41" s="50">
        <v>70</v>
      </c>
      <c r="D41" s="51"/>
      <c r="E41" s="52">
        <v>0</v>
      </c>
      <c r="F41" s="53"/>
      <c r="G41" s="53" t="s">
        <v>35</v>
      </c>
      <c r="H41" s="52">
        <f t="shared" si="1"/>
        <v>0</v>
      </c>
      <c r="I41" s="35">
        <v>0</v>
      </c>
      <c r="J41" s="36">
        <f t="shared" si="2"/>
        <v>0</v>
      </c>
    </row>
    <row r="42" ht="27.95" customHeight="1" hidden="1" spans="1:10" x14ac:dyDescent="0.25">
      <c r="A42" s="48" t="s">
        <v>90</v>
      </c>
      <c r="B42" s="49" t="s">
        <v>91</v>
      </c>
      <c r="C42" s="50">
        <v>70</v>
      </c>
      <c r="D42" s="51"/>
      <c r="E42" s="52">
        <v>0</v>
      </c>
      <c r="F42" s="53"/>
      <c r="G42" s="53" t="s">
        <v>35</v>
      </c>
      <c r="H42" s="52">
        <f t="shared" si="1"/>
        <v>0</v>
      </c>
      <c r="I42" s="35">
        <v>0</v>
      </c>
      <c r="J42" s="36">
        <f t="shared" si="2"/>
        <v>0</v>
      </c>
    </row>
    <row r="43" ht="27.95" customHeight="1" hidden="1" spans="1:10" x14ac:dyDescent="0.25">
      <c r="A43" s="54" t="s">
        <v>92</v>
      </c>
      <c r="B43" s="55" t="s">
        <v>93</v>
      </c>
      <c r="C43" s="41">
        <v>70</v>
      </c>
      <c r="D43" s="42"/>
      <c r="E43" s="23">
        <v>0</v>
      </c>
      <c r="F43" s="43"/>
      <c r="G43" s="43" t="s">
        <v>16</v>
      </c>
      <c r="H43" s="23">
        <f t="shared" si="1"/>
        <v>0</v>
      </c>
      <c r="I43" s="35">
        <v>0</v>
      </c>
      <c r="J43" s="36">
        <f t="shared" si="2"/>
        <v>0</v>
      </c>
    </row>
    <row r="44" ht="27.95" customHeight="1" spans="1:10" x14ac:dyDescent="0.25">
      <c r="A44" s="56" t="s">
        <v>94</v>
      </c>
      <c r="B44" s="57" t="s">
        <v>95</v>
      </c>
      <c r="C44" s="58">
        <v>50</v>
      </c>
      <c r="D44" s="59"/>
      <c r="E44" s="23">
        <f>25593+4950</f>
        <v>30543</v>
      </c>
      <c r="F44" s="59"/>
      <c r="G44" s="43" t="s">
        <v>16</v>
      </c>
      <c r="H44" s="23">
        <f t="shared" si="1"/>
        <v>610.86</v>
      </c>
      <c r="I44" s="44">
        <v>108</v>
      </c>
      <c r="J44" s="45">
        <f t="shared" si="2"/>
        <v>5.7</v>
      </c>
    </row>
    <row r="45" ht="27.95" customHeight="1" spans="1:10" x14ac:dyDescent="0.25">
      <c r="A45" s="60" t="s">
        <v>96</v>
      </c>
      <c r="B45" s="61" t="s">
        <v>97</v>
      </c>
      <c r="C45" s="62">
        <v>50</v>
      </c>
      <c r="D45" s="63"/>
      <c r="E45" s="34">
        <v>42715</v>
      </c>
      <c r="F45" s="63"/>
      <c r="G45" s="33" t="s">
        <v>16</v>
      </c>
      <c r="H45" s="34">
        <f t="shared" si="1"/>
        <v>854.3</v>
      </c>
      <c r="I45" s="35">
        <v>130</v>
      </c>
      <c r="J45" s="36">
        <f t="shared" si="2"/>
        <v>6.6</v>
      </c>
    </row>
    <row r="46" ht="27.95" customHeight="1" hidden="1" spans="1:10" x14ac:dyDescent="0.25">
      <c r="A46" s="60" t="s">
        <v>98</v>
      </c>
      <c r="B46" s="61" t="s">
        <v>99</v>
      </c>
      <c r="C46" s="62">
        <v>70</v>
      </c>
      <c r="D46" s="63"/>
      <c r="E46" s="34">
        <v>0</v>
      </c>
      <c r="F46" s="63"/>
      <c r="G46" s="33" t="s">
        <v>16</v>
      </c>
      <c r="H46" s="34">
        <f t="shared" si="1"/>
        <v>0</v>
      </c>
      <c r="I46" s="35">
        <v>0</v>
      </c>
      <c r="J46" s="36">
        <f t="shared" si="2"/>
        <v>0</v>
      </c>
    </row>
    <row r="47" ht="27.95" customHeight="1" hidden="1" spans="1:10" x14ac:dyDescent="0.25">
      <c r="A47" s="60" t="s">
        <v>100</v>
      </c>
      <c r="B47" s="61" t="s">
        <v>101</v>
      </c>
      <c r="C47" s="62">
        <v>50</v>
      </c>
      <c r="D47" s="63"/>
      <c r="E47" s="34">
        <v>0</v>
      </c>
      <c r="F47" s="63"/>
      <c r="G47" s="33" t="s">
        <v>16</v>
      </c>
      <c r="H47" s="34">
        <f t="shared" si="1"/>
        <v>0</v>
      </c>
      <c r="I47" s="35">
        <v>0</v>
      </c>
      <c r="J47" s="36">
        <f t="shared" si="2"/>
        <v>0</v>
      </c>
    </row>
    <row r="48" ht="27.95" customHeight="1" hidden="1" spans="1:10" x14ac:dyDescent="0.25">
      <c r="A48" s="60" t="s">
        <v>102</v>
      </c>
      <c r="B48" s="61" t="s">
        <v>103</v>
      </c>
      <c r="C48" s="62">
        <v>70</v>
      </c>
      <c r="D48" s="63"/>
      <c r="E48" s="34">
        <v>0</v>
      </c>
      <c r="F48" s="63"/>
      <c r="G48" s="33" t="s">
        <v>16</v>
      </c>
      <c r="H48" s="34">
        <f t="shared" si="1"/>
        <v>0</v>
      </c>
      <c r="I48" s="35">
        <v>0</v>
      </c>
      <c r="J48" s="36">
        <f t="shared" si="2"/>
        <v>0</v>
      </c>
    </row>
    <row r="49" ht="27.95" customHeight="1" spans="1:10" x14ac:dyDescent="0.25">
      <c r="A49" s="60" t="s">
        <v>104</v>
      </c>
      <c r="B49" s="61" t="s">
        <v>105</v>
      </c>
      <c r="C49" s="62">
        <v>50</v>
      </c>
      <c r="D49" s="63"/>
      <c r="E49" s="34">
        <v>2564</v>
      </c>
      <c r="F49" s="63"/>
      <c r="G49" s="33" t="s">
        <v>16</v>
      </c>
      <c r="H49" s="34">
        <f t="shared" si="1"/>
        <v>51.28</v>
      </c>
      <c r="I49" s="35">
        <v>46</v>
      </c>
      <c r="J49" s="36">
        <f t="shared" si="2"/>
        <v>1.1</v>
      </c>
    </row>
    <row r="50" ht="27.95" customHeight="1" spans="1:10" x14ac:dyDescent="0.25">
      <c r="A50" s="60" t="s">
        <v>106</v>
      </c>
      <c r="B50" s="61" t="s">
        <v>107</v>
      </c>
      <c r="C50" s="62">
        <v>50</v>
      </c>
      <c r="D50" s="63"/>
      <c r="E50" s="34">
        <v>1270</v>
      </c>
      <c r="F50" s="63"/>
      <c r="G50" s="33" t="s">
        <v>16</v>
      </c>
      <c r="H50" s="34">
        <f t="shared" si="1"/>
        <v>25.4</v>
      </c>
      <c r="I50" s="35">
        <v>80</v>
      </c>
      <c r="J50" s="36">
        <f t="shared" si="2"/>
        <v>0.3</v>
      </c>
    </row>
    <row r="51" ht="27.95" customHeight="1" hidden="1" spans="1:10" x14ac:dyDescent="0.25">
      <c r="A51" s="64" t="s">
        <v>108</v>
      </c>
      <c r="B51" s="65" t="s">
        <v>109</v>
      </c>
      <c r="C51" s="41">
        <v>70</v>
      </c>
      <c r="D51" s="42"/>
      <c r="E51" s="23">
        <v>0</v>
      </c>
      <c r="F51" s="43"/>
      <c r="G51" s="43" t="s">
        <v>16</v>
      </c>
      <c r="H51" s="23">
        <f t="shared" si="1"/>
        <v>0</v>
      </c>
      <c r="I51" s="35">
        <v>0</v>
      </c>
      <c r="J51" s="36">
        <f t="shared" si="2"/>
        <v>0</v>
      </c>
    </row>
    <row r="52" ht="27.95" customHeight="1" hidden="1" spans="1:10" x14ac:dyDescent="0.25">
      <c r="A52" s="64" t="s">
        <v>110</v>
      </c>
      <c r="B52" s="65" t="s">
        <v>111</v>
      </c>
      <c r="C52" s="41">
        <v>70</v>
      </c>
      <c r="D52" s="42"/>
      <c r="E52" s="66">
        <v>0</v>
      </c>
      <c r="F52" s="43"/>
      <c r="G52" s="43" t="s">
        <v>16</v>
      </c>
      <c r="H52" s="23">
        <f t="shared" si="1"/>
        <v>0</v>
      </c>
      <c r="I52" s="35">
        <v>0</v>
      </c>
      <c r="J52" s="36">
        <f t="shared" si="2"/>
        <v>0</v>
      </c>
    </row>
    <row r="53" ht="27.95" customHeight="1" hidden="1" spans="1:10" x14ac:dyDescent="0.25">
      <c r="A53" s="64" t="s">
        <v>112</v>
      </c>
      <c r="B53" s="65" t="s">
        <v>113</v>
      </c>
      <c r="C53" s="41">
        <v>70</v>
      </c>
      <c r="D53" s="42"/>
      <c r="E53" s="66">
        <v>0</v>
      </c>
      <c r="F53" s="43"/>
      <c r="G53" s="43" t="s">
        <v>16</v>
      </c>
      <c r="H53" s="23">
        <f t="shared" si="1"/>
        <v>0</v>
      </c>
      <c r="I53" s="35">
        <v>0</v>
      </c>
      <c r="J53" s="36">
        <f t="shared" si="2"/>
        <v>0</v>
      </c>
    </row>
    <row r="54" ht="27.95" customHeight="1" hidden="1" spans="1:10" x14ac:dyDescent="0.25">
      <c r="A54" s="64" t="s">
        <v>114</v>
      </c>
      <c r="B54" s="65" t="s">
        <v>115</v>
      </c>
      <c r="C54" s="41">
        <v>70</v>
      </c>
      <c r="D54" s="42"/>
      <c r="E54" s="66">
        <v>0</v>
      </c>
      <c r="F54" s="43"/>
      <c r="G54" s="43" t="s">
        <v>16</v>
      </c>
      <c r="H54" s="23">
        <f t="shared" si="1"/>
        <v>0</v>
      </c>
      <c r="I54" s="35">
        <v>0</v>
      </c>
      <c r="J54" s="36">
        <f t="shared" si="2"/>
        <v>0</v>
      </c>
    </row>
    <row r="55" ht="27.95" customHeight="1" spans="1:10" x14ac:dyDescent="0.25">
      <c r="A55" s="56" t="s">
        <v>116</v>
      </c>
      <c r="B55" s="57" t="s">
        <v>117</v>
      </c>
      <c r="C55" s="58">
        <v>160</v>
      </c>
      <c r="D55" s="59"/>
      <c r="E55" s="23">
        <v>3960</v>
      </c>
      <c r="F55" s="59"/>
      <c r="G55" s="43" t="s">
        <v>35</v>
      </c>
      <c r="H55" s="23">
        <f t="shared" si="1"/>
        <v>24.75</v>
      </c>
      <c r="I55" s="44">
        <v>15</v>
      </c>
      <c r="J55" s="45">
        <f t="shared" si="2"/>
        <v>1.7</v>
      </c>
    </row>
    <row r="56" ht="27.95" customHeight="1" spans="1:10" x14ac:dyDescent="0.25">
      <c r="A56" s="60" t="s">
        <v>118</v>
      </c>
      <c r="B56" s="61" t="s">
        <v>119</v>
      </c>
      <c r="C56" s="62">
        <v>160</v>
      </c>
      <c r="D56" s="63"/>
      <c r="E56" s="34">
        <v>15</v>
      </c>
      <c r="F56" s="63"/>
      <c r="G56" s="33" t="s">
        <v>35</v>
      </c>
      <c r="H56" s="34">
        <f t="shared" si="1"/>
        <v>0.09375</v>
      </c>
      <c r="I56" s="35">
        <v>24</v>
      </c>
      <c r="J56" s="36">
        <f t="shared" si="2"/>
        <v>0</v>
      </c>
    </row>
    <row r="57" ht="27.95" customHeight="1" spans="1:10" x14ac:dyDescent="0.25">
      <c r="A57" s="60" t="s">
        <v>120</v>
      </c>
      <c r="B57" s="61" t="s">
        <v>121</v>
      </c>
      <c r="C57" s="62">
        <v>160</v>
      </c>
      <c r="D57" s="63"/>
      <c r="E57" s="34">
        <v>84</v>
      </c>
      <c r="F57" s="63"/>
      <c r="G57" s="33" t="s">
        <v>35</v>
      </c>
      <c r="H57" s="34">
        <f t="shared" si="1"/>
        <v>0.525</v>
      </c>
      <c r="I57" s="35">
        <v>21</v>
      </c>
      <c r="J57" s="36">
        <f t="shared" si="2"/>
        <v>0</v>
      </c>
    </row>
    <row r="58" ht="27.95" customHeight="1" spans="1:10" x14ac:dyDescent="0.25">
      <c r="A58" s="60" t="s">
        <v>122</v>
      </c>
      <c r="B58" s="61" t="s">
        <v>123</v>
      </c>
      <c r="C58" s="62">
        <v>160</v>
      </c>
      <c r="D58" s="63"/>
      <c r="E58" s="34">
        <v>5945</v>
      </c>
      <c r="F58" s="63"/>
      <c r="G58" s="33" t="s">
        <v>35</v>
      </c>
      <c r="H58" s="34">
        <f t="shared" si="1"/>
        <v>37.15625</v>
      </c>
      <c r="I58" s="35">
        <v>15</v>
      </c>
      <c r="J58" s="36">
        <f t="shared" si="2"/>
        <v>2.5</v>
      </c>
    </row>
    <row r="59" ht="27.95" customHeight="1" spans="1:10" x14ac:dyDescent="0.25">
      <c r="A59" s="56" t="s">
        <v>124</v>
      </c>
      <c r="B59" s="57" t="s">
        <v>125</v>
      </c>
      <c r="C59" s="58">
        <v>70</v>
      </c>
      <c r="D59" s="59"/>
      <c r="E59" s="23">
        <v>0</v>
      </c>
      <c r="F59" s="59"/>
      <c r="G59" s="43" t="s">
        <v>16</v>
      </c>
      <c r="H59" s="23">
        <f t="shared" si="1"/>
        <v>0</v>
      </c>
      <c r="I59" s="44">
        <v>0</v>
      </c>
      <c r="J59" s="45">
        <f t="shared" si="2"/>
        <v>0</v>
      </c>
    </row>
    <row r="60" ht="27.95" customHeight="1" spans="1:10" x14ac:dyDescent="0.25">
      <c r="A60" s="60" t="s">
        <v>126</v>
      </c>
      <c r="B60" s="61" t="s">
        <v>127</v>
      </c>
      <c r="C60" s="62">
        <v>50</v>
      </c>
      <c r="D60" s="63"/>
      <c r="E60" s="34">
        <v>0</v>
      </c>
      <c r="F60" s="63"/>
      <c r="G60" s="33" t="s">
        <v>16</v>
      </c>
      <c r="H60" s="34">
        <f t="shared" si="1"/>
        <v>0</v>
      </c>
      <c r="I60" s="35">
        <v>1</v>
      </c>
      <c r="J60" s="36">
        <f t="shared" si="2"/>
        <v>0</v>
      </c>
    </row>
    <row r="61" ht="27.95" customHeight="1" spans="1:10" x14ac:dyDescent="0.25">
      <c r="A61" s="60" t="s">
        <v>128</v>
      </c>
      <c r="B61" s="61" t="s">
        <v>129</v>
      </c>
      <c r="C61" s="62">
        <v>160</v>
      </c>
      <c r="D61" s="63"/>
      <c r="E61" s="34">
        <v>591</v>
      </c>
      <c r="F61" s="63"/>
      <c r="G61" s="33" t="s">
        <v>35</v>
      </c>
      <c r="H61" s="34">
        <f t="shared" si="1"/>
        <v>3.69375</v>
      </c>
      <c r="I61" s="35">
        <v>1</v>
      </c>
      <c r="J61" s="36">
        <f t="shared" si="2"/>
        <v>3.7</v>
      </c>
    </row>
    <row r="62" ht="27.95" customHeight="1" spans="1:10" x14ac:dyDescent="0.25">
      <c r="A62" s="60" t="s">
        <v>130</v>
      </c>
      <c r="B62" s="61" t="s">
        <v>131</v>
      </c>
      <c r="C62" s="62">
        <v>160</v>
      </c>
      <c r="D62" s="63"/>
      <c r="E62" s="34">
        <v>0</v>
      </c>
      <c r="F62" s="63"/>
      <c r="G62" s="33" t="s">
        <v>35</v>
      </c>
      <c r="H62" s="34">
        <f t="shared" si="1"/>
        <v>0</v>
      </c>
      <c r="I62" s="35">
        <v>0</v>
      </c>
      <c r="J62" s="36">
        <f t="shared" si="2"/>
        <v>0</v>
      </c>
    </row>
    <row r="63" ht="27.95" customHeight="1" spans="1:10" x14ac:dyDescent="0.25">
      <c r="A63" s="67" t="s">
        <v>132</v>
      </c>
      <c r="B63" s="68" t="s">
        <v>133</v>
      </c>
      <c r="C63" s="69">
        <v>84</v>
      </c>
      <c r="D63" s="70"/>
      <c r="E63" s="71">
        <f>960-1</f>
        <v>959</v>
      </c>
      <c r="F63" s="70"/>
      <c r="G63" s="72" t="s">
        <v>16</v>
      </c>
      <c r="H63" s="34">
        <f t="shared" si="1"/>
        <v>11.416666666666666</v>
      </c>
      <c r="I63" s="35">
        <v>0</v>
      </c>
      <c r="J63" s="36">
        <f t="shared" si="2"/>
        <v>0</v>
      </c>
    </row>
    <row r="64" ht="27.95" customHeight="1" spans="1:10" x14ac:dyDescent="0.25">
      <c r="A64" s="67" t="s">
        <v>134</v>
      </c>
      <c r="B64" s="68" t="s">
        <v>135</v>
      </c>
      <c r="C64" s="69">
        <v>50</v>
      </c>
      <c r="D64" s="70"/>
      <c r="E64" s="73">
        <f>597+1</f>
        <v>598</v>
      </c>
      <c r="F64" s="70"/>
      <c r="G64" s="72" t="s">
        <v>16</v>
      </c>
      <c r="H64" s="34">
        <f t="shared" si="1"/>
        <v>11.96</v>
      </c>
      <c r="I64" s="35">
        <v>14</v>
      </c>
      <c r="J64" s="36">
        <f t="shared" si="2"/>
        <v>0.9</v>
      </c>
    </row>
    <row r="65" ht="27.95" customHeight="1" spans="1:10" x14ac:dyDescent="0.25">
      <c r="A65" s="67" t="s">
        <v>136</v>
      </c>
      <c r="B65" s="68" t="s">
        <v>137</v>
      </c>
      <c r="C65" s="69">
        <v>136</v>
      </c>
      <c r="D65" s="70"/>
      <c r="E65" s="74">
        <v>7164</v>
      </c>
      <c r="F65" s="70"/>
      <c r="G65" s="72" t="s">
        <v>16</v>
      </c>
      <c r="H65" s="34">
        <f t="shared" si="1"/>
        <v>52.6764705882353</v>
      </c>
      <c r="I65" s="35">
        <v>27</v>
      </c>
      <c r="J65" s="36">
        <f t="shared" si="2"/>
        <v>2</v>
      </c>
    </row>
    <row r="66" ht="27.95" customHeight="1" hidden="1" spans="1:10" x14ac:dyDescent="0.25">
      <c r="A66" s="75" t="s">
        <v>138</v>
      </c>
      <c r="B66" s="76" t="s">
        <v>139</v>
      </c>
      <c r="C66" s="77">
        <v>78</v>
      </c>
      <c r="D66" s="78"/>
      <c r="E66" s="66">
        <v>0</v>
      </c>
      <c r="F66" s="78"/>
      <c r="G66" s="79" t="s">
        <v>16</v>
      </c>
      <c r="H66" s="66">
        <f t="shared" si="1"/>
        <v>0</v>
      </c>
      <c r="I66" s="44">
        <v>0</v>
      </c>
      <c r="J66" s="45">
        <f t="shared" si="2"/>
        <v>0</v>
      </c>
    </row>
    <row r="67" ht="27.95" customHeight="1" hidden="1" spans="1:10" x14ac:dyDescent="0.25">
      <c r="A67" s="80" t="s">
        <v>140</v>
      </c>
      <c r="B67" s="81" t="s">
        <v>141</v>
      </c>
      <c r="C67" s="82">
        <v>78</v>
      </c>
      <c r="D67" s="83"/>
      <c r="E67" s="47">
        <v>0</v>
      </c>
      <c r="F67" s="83"/>
      <c r="G67" s="84" t="s">
        <v>16</v>
      </c>
      <c r="H67" s="47">
        <f t="shared" si="1"/>
        <v>0</v>
      </c>
      <c r="I67" s="35">
        <v>0</v>
      </c>
      <c r="J67" s="36">
        <f t="shared" si="2"/>
        <v>0</v>
      </c>
    </row>
    <row r="68" ht="27.95" customHeight="1" hidden="1" spans="1:10" x14ac:dyDescent="0.25">
      <c r="A68" s="80" t="s">
        <v>142</v>
      </c>
      <c r="B68" s="81" t="s">
        <v>143</v>
      </c>
      <c r="C68" s="82">
        <v>78</v>
      </c>
      <c r="D68" s="83"/>
      <c r="E68" s="47">
        <v>0</v>
      </c>
      <c r="F68" s="83"/>
      <c r="G68" s="84" t="s">
        <v>16</v>
      </c>
      <c r="H68" s="47">
        <f t="shared" si="1"/>
        <v>0</v>
      </c>
      <c r="I68" s="35">
        <v>0</v>
      </c>
      <c r="J68" s="36">
        <f t="shared" si="2"/>
        <v>0</v>
      </c>
    </row>
    <row r="69" ht="27.95" customHeight="1" spans="1:10" x14ac:dyDescent="0.25">
      <c r="A69" s="80" t="s">
        <v>144</v>
      </c>
      <c r="B69" s="81" t="s">
        <v>145</v>
      </c>
      <c r="C69" s="82">
        <v>160</v>
      </c>
      <c r="D69" s="83"/>
      <c r="E69" s="34">
        <v>46</v>
      </c>
      <c r="F69" s="83"/>
      <c r="G69" s="84" t="s">
        <v>16</v>
      </c>
      <c r="H69" s="47">
        <f t="shared" si="1"/>
        <v>0.2875</v>
      </c>
      <c r="I69" s="35">
        <v>2</v>
      </c>
      <c r="J69" s="36">
        <f t="shared" ref="J69:J71" si="3">IFERROR(ROUND((+H69/I69),1),0)</f>
        <v>0.1</v>
      </c>
    </row>
    <row r="70" ht="27.95" customHeight="1" spans="1:10" x14ac:dyDescent="0.25">
      <c r="A70" s="80" t="s">
        <v>146</v>
      </c>
      <c r="B70" s="81" t="s">
        <v>147</v>
      </c>
      <c r="C70" s="82">
        <v>160</v>
      </c>
      <c r="D70" s="83"/>
      <c r="E70" s="47">
        <v>2486</v>
      </c>
      <c r="F70" s="83"/>
      <c r="G70" s="84" t="s">
        <v>16</v>
      </c>
      <c r="H70" s="47">
        <f>+E70/C70</f>
        <v>15.5375</v>
      </c>
      <c r="I70" s="35">
        <v>0</v>
      </c>
      <c r="J70" s="36">
        <f t="shared" si="3"/>
        <v>0</v>
      </c>
    </row>
    <row r="71" ht="27.95" customHeight="1" spans="1:10" x14ac:dyDescent="0.25">
      <c r="A71" s="85" t="s">
        <v>148</v>
      </c>
      <c r="B71" s="86" t="s">
        <v>149</v>
      </c>
      <c r="C71" s="87">
        <v>160</v>
      </c>
      <c r="D71" s="88"/>
      <c r="E71" s="89">
        <v>0</v>
      </c>
      <c r="F71" s="88"/>
      <c r="G71" s="90" t="s">
        <v>16</v>
      </c>
      <c r="H71" s="91">
        <f>+E71/C71</f>
        <v>0</v>
      </c>
      <c r="I71" s="92">
        <v>0</v>
      </c>
      <c r="J71" s="93">
        <f t="shared" si="3"/>
        <v>0</v>
      </c>
    </row>
    <row r="72" ht="18.75" customHeight="1" hidden="1" spans="1:10" x14ac:dyDescent="0.25">
      <c r="A72" s="94" t="s">
        <v>150</v>
      </c>
      <c r="B72" s="94" t="s">
        <v>151</v>
      </c>
      <c r="C72" s="94">
        <v>70</v>
      </c>
      <c r="D72" s="94"/>
      <c r="E72" s="95">
        <v>0</v>
      </c>
      <c r="F72" s="95"/>
      <c r="G72" s="95" t="s">
        <v>16</v>
      </c>
      <c r="H72" s="95"/>
      <c r="I72" s="46"/>
      <c r="J72" s="46"/>
    </row>
    <row r="73" ht="18.75" customHeight="1" hidden="1" spans="1:10" x14ac:dyDescent="0.25">
      <c r="A73" s="94" t="s">
        <v>152</v>
      </c>
      <c r="B73" s="94" t="s">
        <v>153</v>
      </c>
      <c r="C73" s="94">
        <v>70</v>
      </c>
      <c r="D73" s="94"/>
      <c r="E73" s="95">
        <v>0</v>
      </c>
      <c r="F73" s="95"/>
      <c r="G73" s="95" t="s">
        <v>16</v>
      </c>
      <c r="H73" s="95"/>
      <c r="I73" s="46"/>
      <c r="J73" s="46"/>
    </row>
    <row r="74" ht="3.95" customHeight="1" spans="1:8" x14ac:dyDescent="0.25">
      <c r="A74" s="96"/>
      <c r="B74" s="96"/>
      <c r="E74" s="46"/>
      <c r="F74" s="46"/>
      <c r="G74" s="46"/>
      <c r="H74" s="97"/>
    </row>
    <row r="75" ht="26.25" customHeight="1" spans="1:8" x14ac:dyDescent="0.25">
      <c r="A75" s="98"/>
      <c r="B75" s="98"/>
      <c r="C75" s="98"/>
      <c r="D75" s="98"/>
      <c r="E75" s="99">
        <f>SUM(E5:E74)</f>
        <v>391163</v>
      </c>
      <c r="F75" s="98"/>
      <c r="G75" s="98"/>
      <c r="H75" s="100">
        <f>SUM(H5:H74)</f>
        <v>5062.282720588236</v>
      </c>
    </row>
    <row r="76" ht="15" customHeight="1" spans="1:8" x14ac:dyDescent="0.25">
      <c r="A76" s="96"/>
      <c r="B76" s="96"/>
      <c r="E76" s="46"/>
      <c r="F76" s="46"/>
      <c r="G76" s="46"/>
      <c r="H76" s="97"/>
    </row>
    <row r="77" ht="21" customHeight="1" spans="1:8" x14ac:dyDescent="0.25">
      <c r="A77" s="96"/>
      <c r="B77" s="96"/>
      <c r="E77" s="46"/>
      <c r="F77" s="46"/>
      <c r="G77" s="46"/>
      <c r="H77" s="97"/>
    </row>
    <row r="78" ht="21" customHeight="1" spans="5:8" x14ac:dyDescent="0.25">
      <c r="E78" s="46"/>
      <c r="F78" s="46"/>
      <c r="G78" s="46"/>
      <c r="H78" s="97"/>
    </row>
    <row r="79" ht="21" customHeight="1" spans="5:8" x14ac:dyDescent="0.25">
      <c r="E79" s="46"/>
      <c r="F79" s="46"/>
      <c r="G79" s="46"/>
      <c r="H79" s="97"/>
    </row>
    <row r="80" ht="21" customHeight="1" spans="5:8" x14ac:dyDescent="0.25">
      <c r="E80" s="46"/>
      <c r="F80" s="46"/>
      <c r="G80" s="46"/>
      <c r="H80" s="97"/>
    </row>
    <row r="81" ht="21" customHeight="1" spans="5:8" x14ac:dyDescent="0.25">
      <c r="E81" s="46"/>
      <c r="F81" s="46"/>
      <c r="G81" s="46"/>
      <c r="H81" s="97"/>
    </row>
    <row r="82" ht="21" customHeight="1" spans="5:8" x14ac:dyDescent="0.25">
      <c r="E82" s="46"/>
      <c r="F82" s="46"/>
      <c r="G82" s="46"/>
      <c r="H82" s="97"/>
    </row>
    <row r="83" ht="21" customHeight="1" spans="5:8" x14ac:dyDescent="0.25">
      <c r="E83" s="46"/>
      <c r="F83" s="46"/>
      <c r="G83" s="46"/>
      <c r="H83" s="97"/>
    </row>
    <row r="84" ht="21" customHeight="1" spans="5:8" x14ac:dyDescent="0.25">
      <c r="E84" s="46"/>
      <c r="F84" s="46"/>
      <c r="G84" s="46"/>
      <c r="H84" s="97"/>
    </row>
    <row r="85" ht="21" customHeight="1" spans="5:8" x14ac:dyDescent="0.25">
      <c r="E85" s="46"/>
      <c r="F85" s="46"/>
      <c r="G85" s="46"/>
      <c r="H85" s="97"/>
    </row>
    <row r="86" ht="21" customHeight="1" spans="5:8" x14ac:dyDescent="0.25">
      <c r="E86" s="46"/>
      <c r="F86" s="46"/>
      <c r="G86" s="46"/>
      <c r="H86" s="97"/>
    </row>
    <row r="87" ht="21" customHeight="1" spans="5:8" x14ac:dyDescent="0.25">
      <c r="E87" s="101"/>
      <c r="F87" s="46"/>
      <c r="G87" s="46"/>
      <c r="H87" s="97"/>
    </row>
    <row r="88" ht="21" customHeight="1" spans="5:8" x14ac:dyDescent="0.25">
      <c r="E88" s="46"/>
      <c r="F88" s="46"/>
      <c r="G88" s="46"/>
      <c r="H88" s="97"/>
    </row>
    <row r="89" ht="21" customHeight="1" spans="5:8" x14ac:dyDescent="0.25">
      <c r="E89" s="101"/>
      <c r="F89" s="46"/>
      <c r="G89" s="46"/>
      <c r="H89" s="97"/>
    </row>
    <row r="90" ht="21" customHeight="1" spans="5:8" x14ac:dyDescent="0.25">
      <c r="E90" s="46"/>
      <c r="F90" s="46"/>
      <c r="G90" s="46"/>
      <c r="H90" s="97"/>
    </row>
    <row r="91" ht="21" customHeight="1" spans="5:8" x14ac:dyDescent="0.25">
      <c r="E91" s="101"/>
      <c r="F91" s="46"/>
      <c r="G91" s="46"/>
      <c r="H91" s="97"/>
    </row>
    <row r="92" ht="21" customHeight="1" spans="5:8" x14ac:dyDescent="0.25">
      <c r="E92" s="46"/>
      <c r="F92" s="46"/>
      <c r="G92" s="46"/>
      <c r="H92" s="97"/>
    </row>
    <row r="93" ht="21" customHeight="1" spans="5:8" x14ac:dyDescent="0.25">
      <c r="E93" s="101"/>
      <c r="F93" s="46"/>
      <c r="G93" s="46"/>
      <c r="H93" s="97"/>
    </row>
    <row r="94" ht="21" customHeight="1" spans="5:8" x14ac:dyDescent="0.25">
      <c r="E94" s="101"/>
      <c r="F94" s="46"/>
      <c r="G94" s="46"/>
      <c r="H94" s="97"/>
    </row>
    <row r="95" ht="21" customHeight="1" spans="5:8" x14ac:dyDescent="0.25">
      <c r="E95" s="101"/>
      <c r="H95" s="97"/>
    </row>
    <row r="96" ht="21" customHeight="1" spans="5:8" x14ac:dyDescent="0.25">
      <c r="E96" s="101"/>
      <c r="H96" s="97"/>
    </row>
    <row r="97" ht="21" customHeight="1" spans="5:8" x14ac:dyDescent="0.25">
      <c r="E97" s="101"/>
      <c r="H97" s="97"/>
    </row>
    <row r="98" ht="21" customHeight="1" spans="5:8" x14ac:dyDescent="0.25">
      <c r="E98" s="101"/>
      <c r="H98" s="97"/>
    </row>
    <row r="99" ht="21" customHeight="1" spans="5:8" x14ac:dyDescent="0.25">
      <c r="E99" s="101"/>
      <c r="H99" s="97"/>
    </row>
    <row r="100" ht="21" customHeight="1" spans="5:8" x14ac:dyDescent="0.25">
      <c r="E100" s="101"/>
      <c r="H100" s="97"/>
    </row>
    <row r="102" spans="5:5" x14ac:dyDescent="0.25">
      <c r="E102" s="46"/>
    </row>
    <row r="105" spans="7:7" x14ac:dyDescent="0.25">
      <c r="G105" s="102"/>
    </row>
  </sheetData>
  <conditionalFormatting sqref="D1">
    <cfRule type="cellIs" dxfId="0" priority="70" operator="equal">
      <formula>0</formula>
    </cfRule>
  </conditionalFormatting>
  <conditionalFormatting sqref="D2">
    <cfRule type="cellIs" dxfId="1" priority="69" operator="equal">
      <formula>0</formula>
    </cfRule>
  </conditionalFormatting>
  <conditionalFormatting sqref="H5">
    <cfRule type="cellIs" dxfId="2" priority="80" operator="lessThan">
      <formula>1000</formula>
    </cfRule>
    <cfRule type="cellIs" dxfId="3" priority="81" operator="greaterThan">
      <formula>1500</formula>
    </cfRule>
  </conditionalFormatting>
  <conditionalFormatting sqref="H6">
    <cfRule type="cellIs" dxfId="4" priority="78" operator="lessThan">
      <formula>300</formula>
    </cfRule>
    <cfRule type="cellIs" dxfId="5" priority="79" operator="greaterThan">
      <formula>500</formula>
    </cfRule>
  </conditionalFormatting>
  <conditionalFormatting sqref="H7">
    <cfRule type="cellIs" dxfId="6" priority="76" operator="lessThan">
      <formula>500</formula>
    </cfRule>
    <cfRule type="cellIs" dxfId="7" priority="77" operator="greaterThan">
      <formula>800</formula>
    </cfRule>
  </conditionalFormatting>
  <conditionalFormatting sqref="H8:H9">
    <cfRule type="cellIs" dxfId="8" priority="71" operator="lessThan">
      <formula>200</formula>
    </cfRule>
    <cfRule type="cellIs" dxfId="9" priority="72" operator="greaterThan">
      <formula>300</formula>
    </cfRule>
  </conditionalFormatting>
  <conditionalFormatting sqref="H10">
    <cfRule type="cellIs" dxfId="10" priority="67" operator="lessThan">
      <formula>500</formula>
    </cfRule>
    <cfRule type="cellIs" dxfId="11" priority="68" operator="greaterThan">
      <formula>800</formula>
    </cfRule>
  </conditionalFormatting>
  <conditionalFormatting sqref="H12">
    <cfRule type="cellIs" dxfId="12" priority="65" operator="lessThan">
      <formula>10</formula>
    </cfRule>
    <cfRule type="cellIs" dxfId="13" priority="66" operator="greaterThan">
      <formula>80</formula>
    </cfRule>
  </conditionalFormatting>
  <conditionalFormatting sqref="H14">
    <cfRule type="cellIs" dxfId="14" priority="63" operator="lessThan">
      <formula>200</formula>
    </cfRule>
    <cfRule type="cellIs" dxfId="15" priority="64" operator="greaterThan">
      <formula>300</formula>
    </cfRule>
  </conditionalFormatting>
  <conditionalFormatting sqref="H15">
    <cfRule type="cellIs" dxfId="16" priority="61" operator="lessThan">
      <formula>50</formula>
    </cfRule>
    <cfRule type="cellIs" dxfId="17" priority="62" operator="greaterThan">
      <formula>100</formula>
    </cfRule>
  </conditionalFormatting>
  <conditionalFormatting sqref="H16">
    <cfRule type="cellIs" dxfId="18" priority="59" operator="lessThan">
      <formula>400</formula>
    </cfRule>
    <cfRule type="cellIs" dxfId="19" priority="60" operator="greaterThan">
      <formula>1300</formula>
    </cfRule>
  </conditionalFormatting>
  <conditionalFormatting sqref="H17:H19">
    <cfRule type="cellIs" dxfId="20" priority="55" operator="lessThan">
      <formula>200</formula>
    </cfRule>
    <cfRule type="cellIs" dxfId="21" priority="56" operator="greaterThan">
      <formula>400</formula>
    </cfRule>
  </conditionalFormatting>
  <conditionalFormatting sqref="H20">
    <cfRule type="cellIs" dxfId="22" priority="53" operator="lessThan">
      <formula>60</formula>
    </cfRule>
    <cfRule type="cellIs" dxfId="23" priority="54" operator="greaterThan">
      <formula>100</formula>
    </cfRule>
  </conditionalFormatting>
  <conditionalFormatting sqref="H21:H22">
    <cfRule type="cellIs" dxfId="24" priority="49" operator="lessThan">
      <formula>200</formula>
    </cfRule>
    <cfRule type="cellIs" dxfId="25" priority="50" operator="greaterThan">
      <formula>400</formula>
    </cfRule>
  </conditionalFormatting>
  <conditionalFormatting sqref="H23:H24">
    <cfRule type="cellIs" dxfId="26" priority="51" operator="lessThan">
      <formula>0</formula>
    </cfRule>
    <cfRule type="cellIs" dxfId="27" priority="52" operator="equal">
      <formula>0</formula>
    </cfRule>
  </conditionalFormatting>
  <conditionalFormatting sqref="H25">
    <cfRule type="cellIs" dxfId="28" priority="47" operator="lessThan">
      <formula>100</formula>
    </cfRule>
    <cfRule type="cellIs" dxfId="29" priority="48" operator="greaterThan">
      <formula>250</formula>
    </cfRule>
  </conditionalFormatting>
  <conditionalFormatting sqref="H26:H27">
    <cfRule type="cellIs" dxfId="30" priority="43" operator="lessThan">
      <formula>50</formula>
    </cfRule>
    <cfRule type="cellIs" dxfId="31" priority="44" operator="greaterThan">
      <formula>150</formula>
    </cfRule>
  </conditionalFormatting>
  <conditionalFormatting sqref="H28">
    <cfRule type="cellIs" dxfId="32" priority="39" operator="lessThan">
      <formula>20</formula>
    </cfRule>
    <cfRule type="cellIs" dxfId="33" priority="40" operator="greaterThan">
      <formula>70</formula>
    </cfRule>
  </conditionalFormatting>
  <conditionalFormatting sqref="H29:H31">
    <cfRule type="cellIs" dxfId="34" priority="41" operator="lessThan">
      <formula>50</formula>
    </cfRule>
    <cfRule type="cellIs" dxfId="35" priority="42" operator="greaterThan">
      <formula>150</formula>
    </cfRule>
  </conditionalFormatting>
  <conditionalFormatting sqref="H32:H33">
    <cfRule type="cellIs" dxfId="36" priority="37" operator="lessThan">
      <formula>5</formula>
    </cfRule>
    <cfRule type="cellIs" dxfId="37" priority="38" operator="greaterThan">
      <formula>50</formula>
    </cfRule>
  </conditionalFormatting>
  <conditionalFormatting sqref="H44:H45">
    <cfRule type="cellIs" dxfId="38" priority="33" operator="lessThan">
      <formula>500</formula>
    </cfRule>
    <cfRule type="cellIs" dxfId="39" priority="34" operator="greaterThan">
      <formula>1500</formula>
    </cfRule>
  </conditionalFormatting>
  <conditionalFormatting sqref="H46">
    <cfRule type="cellIs" dxfId="40" priority="23" operator="lessThan">
      <formula>300</formula>
    </cfRule>
    <cfRule type="cellIs" dxfId="41" priority="24" operator="greaterThan">
      <formula>600</formula>
    </cfRule>
  </conditionalFormatting>
  <conditionalFormatting sqref="H47">
    <cfRule type="cellIs" dxfId="42" priority="10" operator="greaterThan">
      <formula>1500</formula>
    </cfRule>
  </conditionalFormatting>
  <conditionalFormatting sqref="H47:H50">
    <cfRule type="cellIs" dxfId="43" priority="7" operator="lessThan">
      <formula>500</formula>
    </cfRule>
  </conditionalFormatting>
  <conditionalFormatting sqref="H48">
    <cfRule type="cellIs" dxfId="44" priority="8" operator="greaterThan">
      <formula>800</formula>
    </cfRule>
  </conditionalFormatting>
  <conditionalFormatting sqref="H49">
    <cfRule type="cellIs" dxfId="45" priority="32" operator="greaterThan">
      <formula>1500</formula>
    </cfRule>
  </conditionalFormatting>
  <conditionalFormatting sqref="H50">
    <cfRule type="cellIs" dxfId="46" priority="28" operator="greaterThan">
      <formula>800</formula>
    </cfRule>
  </conditionalFormatting>
  <conditionalFormatting sqref="H55:H58">
    <cfRule type="cellIs" dxfId="47" priority="12" operator="lessThan">
      <formula>500</formula>
    </cfRule>
    <cfRule type="cellIs" dxfId="48" priority="13" operator="greaterThan">
      <formula>800</formula>
    </cfRule>
  </conditionalFormatting>
  <conditionalFormatting sqref="H59:H60">
    <cfRule type="cellIs" dxfId="49" priority="25" operator="lessThan">
      <formula>200</formula>
    </cfRule>
    <cfRule type="cellIs" dxfId="50" priority="26" operator="greaterThan">
      <formula>600</formula>
    </cfRule>
  </conditionalFormatting>
  <conditionalFormatting sqref="H61:H62">
    <cfRule type="cellIs" dxfId="51" priority="5" operator="lessThan">
      <formula>500</formula>
    </cfRule>
    <cfRule type="cellIs" dxfId="52" priority="6" operator="greaterThan">
      <formula>800</formula>
    </cfRule>
  </conditionalFormatting>
  <conditionalFormatting sqref="H63:H71">
    <cfRule type="cellIs" dxfId="53" priority="17" operator="lessThan">
      <formula>200</formula>
    </cfRule>
    <cfRule type="cellIs" dxfId="54" priority="18" operator="greaterThan">
      <formula>600</formula>
    </cfRule>
  </conditionalFormatting>
  <conditionalFormatting sqref="J5:J71">
    <cfRule type="cellIs" dxfId="55" priority="1" operator="greaterThan">
      <formula>4</formula>
    </cfRule>
    <cfRule type="cellIs" dxfId="56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4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Existencia Sistema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Yonny Hernandez</cp:lastModifiedBy>
  <cp:lastPrinted>2026-09-10T12:17:26Z</cp:lastPrinted>
  <dcterms:created xsi:type="dcterms:W3CDTF">2014-09-02T11:57:04Z</dcterms:created>
  <dcterms:modified xsi:type="dcterms:W3CDTF">2026-09-10T18:04:35Z</dcterms:modified>
</cp:coreProperties>
</file>