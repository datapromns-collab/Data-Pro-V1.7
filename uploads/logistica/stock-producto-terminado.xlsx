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Sistema'!$A1:$J51</definedName>
  </definedNames>
  <calcPr calcId="171027"/>
</workbook>
</file>

<file path=xl/sharedStrings.xml><?xml version="1.0" encoding="utf-8"?>
<sst xmlns="http://schemas.openxmlformats.org/spreadsheetml/2006/main" count="146" uniqueCount="104">
  <si>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</si>
  <si>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</si>
  <si>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</si>
  <si>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</si>
  <si>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</si>
  <si>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</si>
  <si>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</si>
  <si>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</si>
  <si>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</si>
  <si>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</si>
  <si>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</si>
  <si>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</si>
  <si>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</si>
  <si>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</si>
  <si>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</si>
  <si>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</si>
  <si>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</si>
  <si>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</si>
  <si>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</si>
  <si>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</si>
  <si>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</si>
  <si>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</si>
  <si>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</si>
  <si>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</si>
  <si>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</si>
  <si>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</si>
  <si>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</si>
  <si>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</si>
  <si>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</si>
  <si>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</si>
  <si>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</si>
  <si>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</si>
  <si>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</si>
  <si>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</si>
  <si>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</si>
  <si>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</si>
  <si>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</si>
  <si>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</si>
  <si>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</si>
  <si>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</si>
  <si>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</si>
  <si>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</si>
  <si>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</si>
  <si>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</si>
  <si>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</si>
  <si>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</si>
  <si>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PRODT-0106</t>
  </si>
  <si>
    <t>GLUP! PIÑA PARCHITA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</si>
  <si>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</si>
  <si>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</si>
  <si>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</si>
  <si>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</si>
  <si>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</si>
  <si>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</si>
  <si>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</si>
  <si>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</si>
  <si>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</si>
  <si>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</si>
  <si>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</si>
  <si>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</si>
  <si>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PRODT-0013</t>
  </si>
  <si>
    <t xml:space="preserve">JUSTY MANGO DURAZNO 1,5 LTRS       </t>
  </si>
  <si>
    <t>PRODT-0014</t>
  </si>
  <si>
    <t xml:space="preserve">JUSTY NARANJA 1,5 LTRS                            </t>
  </si>
  <si>
    <t>PRODT-0100</t>
  </si>
  <si>
    <t>JUSTY DURAZNO CAJA X 12BOT X 1.5LTS</t>
  </si>
  <si>
    <t>PRODT-0101</t>
  </si>
  <si>
    <t>JUSTY SANDIA CAJA X 12BOT X 1.5LTS</t>
  </si>
  <si>
    <t>PRODT-0102</t>
  </si>
  <si>
    <t>JUSTY MANDARINA CAJA X 12BOT X 1.5LTS</t>
  </si>
  <si>
    <t>PRODT-0103</t>
  </si>
  <si>
    <t>JUSTY TAMARINDO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</si>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</sst>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89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3" borderId="14" xfId="0" applyNumberFormat="1" applyFont="1" applyFill="1" applyBorder="1"/>
    <xf numFmtId="3" fontId="0" fillId="0" borderId="14" xfId="0" applyNumberFormat="1" applyBorder="1"/>
    <xf numFmtId="3" fontId="7" fillId="0" borderId="14" xfId="0" applyNumberFormat="1" applyFont="1" applyBorder="1"/>
    <xf numFmtId="0" fontId="7" fillId="0" borderId="14" xfId="0" applyFont="1" applyBorder="1"/>
    <xf numFmtId="0" fontId="7" fillId="0" borderId="17" xfId="0" applyFont="1" applyBorder="1"/>
    <xf numFmtId="0" fontId="6" fillId="0" borderId="16" xfId="0" applyFont="1" applyBorder="1"/>
    <xf numFmtId="0" fontId="6" fillId="0" borderId="14" xfId="0" applyFont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4" borderId="14" xfId="0" applyNumberFormat="1" applyFont="1" applyFill="1" applyBorder="1"/>
    <xf numFmtId="0" fontId="9" fillId="0" borderId="14" xfId="0" applyFont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3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8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5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80"/>
  <sheetViews>
    <sheetView workbookViewId="0" zoomScale="80" zoomScaleNormal="80">
      <selection activeCell="A52" sqref="A52"/>
    </sheetView>
  </sheetViews>
  <sheetFormatPr defaultRowHeight="15" outlineLevelRow="0" outlineLevelCol="0" x14ac:dyDescent="0.25"/>
  <cols>
    <col min="1" max="1" width="17.140625" customWidth="1"/>
    <col min="2" max="2" width="53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46282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19786+33840+28720</f>
        <v>82346</v>
      </c>
      <c r="F5" s="24"/>
      <c r="G5" s="24" t="s">
        <v>16</v>
      </c>
      <c r="H5" s="25">
        <f>+E5/C5</f>
        <v>1029.325</v>
      </c>
      <c r="I5" s="26">
        <v>804</v>
      </c>
      <c r="J5" s="27">
        <f>IFERROR(ROUND((+H5/I5),1),0)</f>
        <v>1.3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2219-2+13840</f>
        <v>16057</v>
      </c>
      <c r="F6" s="34"/>
      <c r="G6" s="34" t="s">
        <v>16</v>
      </c>
      <c r="H6" s="35">
        <f>+E6/C6</f>
        <v>200.7125</v>
      </c>
      <c r="I6" s="36">
        <v>111</v>
      </c>
      <c r="J6" s="37">
        <f>IFERROR(ROUND((+H6/I6),1),0)</f>
        <v>1.8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5">
        <f>119+14400</f>
        <v>14519</v>
      </c>
      <c r="F7" s="34"/>
      <c r="G7" s="34" t="s">
        <v>16</v>
      </c>
      <c r="H7" s="35">
        <f>+E7/C7</f>
        <v>181.4875</v>
      </c>
      <c r="I7" s="36">
        <v>240</v>
      </c>
      <c r="J7" s="37">
        <f>IFERROR(ROUND((+H7/I7),1),0)</f>
        <v>0.8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5">
        <v>31347</v>
      </c>
      <c r="F8" s="34"/>
      <c r="G8" s="34" t="s">
        <v>16</v>
      </c>
      <c r="H8" s="35">
        <f>+E8/C8</f>
        <v>391.8375</v>
      </c>
      <c r="I8" s="36">
        <v>83</v>
      </c>
      <c r="J8" s="37">
        <f>IFERROR(ROUND((+H8/I8),1),0)</f>
        <v>4.7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5">
        <v>0</v>
      </c>
      <c r="F9" s="34"/>
      <c r="G9" s="34" t="s">
        <v>16</v>
      </c>
      <c r="H9" s="35">
        <f>+E9/C9</f>
        <v>0</v>
      </c>
      <c r="I9" s="36">
        <v>86</v>
      </c>
      <c r="J9" s="37">
        <f>IFERROR(ROUND((+H9/I9),1),0)</f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5">
        <v>41477</v>
      </c>
      <c r="F10" s="34"/>
      <c r="G10" s="34" t="s">
        <v>16</v>
      </c>
      <c r="H10" s="35">
        <f>+E10/C10</f>
        <v>518.4625</v>
      </c>
      <c r="I10" s="36">
        <v>261</v>
      </c>
      <c r="J10" s="37">
        <f>IFERROR(ROUND((+H10/I10),1),0)</f>
        <v>2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5">
        <v>5453</v>
      </c>
      <c r="F11" s="34"/>
      <c r="G11" s="34" t="s">
        <v>16</v>
      </c>
      <c r="H11" s="35">
        <f>+E11/C11</f>
        <v>68.1625</v>
      </c>
      <c r="I11" s="36">
        <v>6</v>
      </c>
      <c r="J11" s="37">
        <f>IFERROR(ROUND((+H11/I11),1),0)</f>
        <v>11.4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35">
        <v>3071</v>
      </c>
      <c r="F12" s="32"/>
      <c r="G12" s="32" t="s">
        <v>31</v>
      </c>
      <c r="H12" s="35">
        <f>+E12/C12</f>
        <v>38.3875</v>
      </c>
      <c r="I12" s="36">
        <v>60</v>
      </c>
      <c r="J12" s="37">
        <f>IFERROR(ROUND((+H12/I12),1),0)</f>
        <v>0.6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5">
        <v>14</v>
      </c>
      <c r="F13" s="32"/>
      <c r="G13" s="32" t="s">
        <v>31</v>
      </c>
      <c r="H13" s="35">
        <f>+E13/C13</f>
        <v>0.175</v>
      </c>
      <c r="I13" s="36">
        <v>6</v>
      </c>
      <c r="J13" s="37">
        <f>IFERROR(ROUND((+H13/I13),1),0)</f>
        <v>0</v>
      </c>
    </row>
    <row r="14" ht="27.95" customHeight="1" spans="1:10" x14ac:dyDescent="0.25">
      <c r="A14" s="40" t="s">
        <v>34</v>
      </c>
      <c r="B14" s="41" t="s">
        <v>35</v>
      </c>
      <c r="C14" s="42">
        <v>78</v>
      </c>
      <c r="D14" s="43"/>
      <c r="E14" s="23">
        <f>2011+2184</f>
        <v>4195</v>
      </c>
      <c r="F14" s="44"/>
      <c r="G14" s="44" t="s">
        <v>31</v>
      </c>
      <c r="H14" s="23">
        <f>+E14/C14</f>
        <v>53.782051282051285</v>
      </c>
      <c r="I14" s="45">
        <v>118</v>
      </c>
      <c r="J14" s="46">
        <f>IFERROR(ROUND((+H14/I14),1),0)</f>
        <v>0.5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35">
        <v>9581</v>
      </c>
      <c r="F15" s="34"/>
      <c r="G15" s="34" t="s">
        <v>31</v>
      </c>
      <c r="H15" s="35">
        <f>+E15/C15</f>
        <v>122.83333333333333</v>
      </c>
      <c r="I15" s="36">
        <v>14</v>
      </c>
      <c r="J15" s="37">
        <f>IFERROR(ROUND((+H15/I15),1),0)</f>
        <v>8.8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5">
        <f>12498+6452</f>
        <v>18950</v>
      </c>
      <c r="F16" s="34"/>
      <c r="G16" s="34" t="s">
        <v>31</v>
      </c>
      <c r="H16" s="35">
        <f>+E16/C16</f>
        <v>242.94871794871796</v>
      </c>
      <c r="I16" s="36">
        <v>49</v>
      </c>
      <c r="J16" s="37">
        <f>IFERROR(ROUND((+H16/I16),1),0)</f>
        <v>5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5">
        <v>19110</v>
      </c>
      <c r="F17" s="34"/>
      <c r="G17" s="34" t="s">
        <v>31</v>
      </c>
      <c r="H17" s="35">
        <f>+E17/C17</f>
        <v>245</v>
      </c>
      <c r="I17" s="36">
        <v>45</v>
      </c>
      <c r="J17" s="37">
        <f>IFERROR(ROUND((+H17/I17),1),0)</f>
        <v>5.4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5">
        <v>12650</v>
      </c>
      <c r="F18" s="34"/>
      <c r="G18" s="32" t="s">
        <v>31</v>
      </c>
      <c r="H18" s="35">
        <f>+E18/C18</f>
        <v>162.17948717948718</v>
      </c>
      <c r="I18" s="36">
        <v>7</v>
      </c>
      <c r="J18" s="37">
        <f>IFERROR(ROUND((+H18/I18),1),0)</f>
        <v>23.2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5">
        <v>1</v>
      </c>
      <c r="F19" s="34"/>
      <c r="G19" s="32" t="s">
        <v>31</v>
      </c>
      <c r="H19" s="35">
        <f>+E19/C19</f>
        <v>0.01282051282051282</v>
      </c>
      <c r="I19" s="36">
        <v>8</v>
      </c>
      <c r="J19" s="37">
        <f>IFERROR(ROUND((+H19/I19),1),0)</f>
        <v>0</v>
      </c>
    </row>
    <row r="20" ht="27.95" customHeight="1" hidden="1" spans="1:10" x14ac:dyDescent="0.25">
      <c r="A20" s="38" t="s">
        <v>46</v>
      </c>
      <c r="B20" s="39" t="s">
        <v>47</v>
      </c>
      <c r="C20" s="31">
        <v>78</v>
      </c>
      <c r="D20" s="32"/>
      <c r="E20" s="35">
        <v>0</v>
      </c>
      <c r="F20" s="34"/>
      <c r="G20" s="32" t="s">
        <v>31</v>
      </c>
      <c r="H20" s="35">
        <f>+E20/C20</f>
        <v>0</v>
      </c>
      <c r="I20" s="36">
        <v>0</v>
      </c>
      <c r="J20" s="37">
        <f>IFERROR(ROUND((+H20/I20),1),0)</f>
        <v>0</v>
      </c>
    </row>
    <row r="21" ht="27.95" customHeight="1" spans="1:10" x14ac:dyDescent="0.25">
      <c r="A21" s="38" t="s">
        <v>48</v>
      </c>
      <c r="B21" s="39" t="s">
        <v>49</v>
      </c>
      <c r="C21" s="31">
        <v>78</v>
      </c>
      <c r="D21" s="32"/>
      <c r="E21" s="47">
        <f>912+5</f>
        <v>917</v>
      </c>
      <c r="F21" s="34"/>
      <c r="G21" s="32" t="s">
        <v>31</v>
      </c>
      <c r="H21" s="35">
        <f>+E21/C21</f>
        <v>11.756410256410257</v>
      </c>
      <c r="I21" s="36">
        <v>9</v>
      </c>
      <c r="J21" s="37">
        <f>IFERROR(ROUND((+H21/I21),1),0)</f>
        <v>1.3</v>
      </c>
    </row>
    <row r="22" ht="27.95" customHeight="1" spans="1:10" x14ac:dyDescent="0.25">
      <c r="A22" s="40" t="s">
        <v>50</v>
      </c>
      <c r="B22" s="41" t="s">
        <v>51</v>
      </c>
      <c r="C22" s="42">
        <v>160</v>
      </c>
      <c r="D22" s="43"/>
      <c r="E22" s="23">
        <f>235+11840+4480</f>
        <v>16555</v>
      </c>
      <c r="F22" s="43"/>
      <c r="G22" s="43" t="s">
        <v>31</v>
      </c>
      <c r="H22" s="23">
        <f>+E22/C22</f>
        <v>103.46875</v>
      </c>
      <c r="I22" s="45">
        <v>46</v>
      </c>
      <c r="J22" s="46">
        <f>IFERROR(ROUND((+H22/I22),1),0)</f>
        <v>2.2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5">
        <v>1843</v>
      </c>
      <c r="F23" s="32"/>
      <c r="G23" s="32" t="s">
        <v>31</v>
      </c>
      <c r="H23" s="35">
        <f>+E23/C23</f>
        <v>11.51875</v>
      </c>
      <c r="I23" s="36">
        <v>6</v>
      </c>
      <c r="J23" s="37">
        <f>IFERROR(ROUND((+H23/I23),1),0)</f>
        <v>1.9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5">
        <v>3679</v>
      </c>
      <c r="F24" s="32"/>
      <c r="G24" s="32" t="s">
        <v>31</v>
      </c>
      <c r="H24" s="35">
        <f>+E24/C24</f>
        <v>22.99375</v>
      </c>
      <c r="I24" s="36">
        <v>20</v>
      </c>
      <c r="J24" s="37">
        <f>IFERROR(ROUND((+H24/I24),1),0)</f>
        <v>1.1</v>
      </c>
    </row>
    <row r="25" ht="27.95" customHeight="1" spans="1:10" x14ac:dyDescent="0.25">
      <c r="A25" s="38" t="s">
        <v>56</v>
      </c>
      <c r="B25" s="39" t="s">
        <v>57</v>
      </c>
      <c r="C25" s="31">
        <v>160</v>
      </c>
      <c r="D25" s="32"/>
      <c r="E25" s="35">
        <f>29767+572</f>
        <v>30339</v>
      </c>
      <c r="F25" s="32"/>
      <c r="G25" s="48" t="s">
        <v>31</v>
      </c>
      <c r="H25" s="35">
        <f>+E25/C25</f>
        <v>189.61875</v>
      </c>
      <c r="I25" s="36">
        <v>20</v>
      </c>
      <c r="J25" s="37">
        <f>IFERROR(ROUND((+H25/I25),1),0)</f>
        <v>9.5</v>
      </c>
    </row>
    <row r="26" ht="27.95" customHeight="1" spans="1:12" x14ac:dyDescent="0.25">
      <c r="A26" s="38" t="s">
        <v>58</v>
      </c>
      <c r="B26" s="39" t="s">
        <v>59</v>
      </c>
      <c r="C26" s="31">
        <v>160</v>
      </c>
      <c r="D26" s="32"/>
      <c r="E26" s="35">
        <v>3575</v>
      </c>
      <c r="F26" s="32"/>
      <c r="G26" s="32" t="s">
        <v>31</v>
      </c>
      <c r="H26" s="35">
        <f>+E26/C26</f>
        <v>22.34375</v>
      </c>
      <c r="I26" s="36">
        <v>4</v>
      </c>
      <c r="J26" s="37">
        <f>IFERROR(ROUND((+H26/I26),1),0)</f>
        <v>5.6</v>
      </c>
      <c r="L26" s="28"/>
    </row>
    <row r="27" ht="27.95" customHeight="1" spans="1:10" x14ac:dyDescent="0.25">
      <c r="A27" s="49" t="s">
        <v>60</v>
      </c>
      <c r="B27" s="50" t="s">
        <v>61</v>
      </c>
      <c r="C27" s="42">
        <v>70</v>
      </c>
      <c r="D27" s="43"/>
      <c r="E27" s="23">
        <v>0</v>
      </c>
      <c r="F27" s="44"/>
      <c r="G27" s="44" t="s">
        <v>16</v>
      </c>
      <c r="H27" s="23">
        <f>+E27/C27</f>
        <v>0</v>
      </c>
      <c r="I27" s="36">
        <v>0</v>
      </c>
      <c r="J27" s="37">
        <f>IFERROR(ROUND((+H27/I27),1),0)</f>
        <v>0</v>
      </c>
    </row>
    <row r="28" ht="27.95" customHeight="1" spans="1:10" x14ac:dyDescent="0.25">
      <c r="A28" s="51" t="s">
        <v>62</v>
      </c>
      <c r="B28" s="52" t="s">
        <v>63</v>
      </c>
      <c r="C28" s="53">
        <v>50</v>
      </c>
      <c r="D28" s="54"/>
      <c r="E28" s="55">
        <v>35684</v>
      </c>
      <c r="F28" s="54"/>
      <c r="G28" s="44" t="s">
        <v>16</v>
      </c>
      <c r="H28" s="23">
        <f>+E28/C28</f>
        <v>713.68</v>
      </c>
      <c r="I28" s="45">
        <v>108</v>
      </c>
      <c r="J28" s="46">
        <f>IFERROR(ROUND((+H28/I28),1),0)</f>
        <v>6.6</v>
      </c>
    </row>
    <row r="29" ht="27.95" customHeight="1" spans="1:10" x14ac:dyDescent="0.25">
      <c r="A29" s="56" t="s">
        <v>64</v>
      </c>
      <c r="B29" s="57" t="s">
        <v>65</v>
      </c>
      <c r="C29" s="58">
        <v>50</v>
      </c>
      <c r="D29" s="59"/>
      <c r="E29" s="35">
        <v>34305</v>
      </c>
      <c r="F29" s="59"/>
      <c r="G29" s="34" t="s">
        <v>16</v>
      </c>
      <c r="H29" s="35">
        <f>+E29/C29</f>
        <v>686.1</v>
      </c>
      <c r="I29" s="36">
        <v>130</v>
      </c>
      <c r="J29" s="37">
        <f>IFERROR(ROUND((+H29/I29),1),0)</f>
        <v>5.3</v>
      </c>
    </row>
    <row r="30" ht="27.95" customHeight="1" hidden="1" spans="1:10" x14ac:dyDescent="0.25">
      <c r="A30" s="56" t="s">
        <v>66</v>
      </c>
      <c r="B30" s="57" t="s">
        <v>67</v>
      </c>
      <c r="C30" s="58">
        <v>70</v>
      </c>
      <c r="D30" s="59"/>
      <c r="E30" s="35">
        <v>0</v>
      </c>
      <c r="F30" s="59"/>
      <c r="G30" s="34" t="s">
        <v>16</v>
      </c>
      <c r="H30" s="35">
        <f>+E30/C30</f>
        <v>0</v>
      </c>
      <c r="I30" s="36">
        <v>0</v>
      </c>
      <c r="J30" s="37">
        <f>IFERROR(ROUND((+H30/I30),1),0)</f>
        <v>0</v>
      </c>
    </row>
    <row r="31" ht="27.95" customHeight="1" hidden="1" spans="1:10" x14ac:dyDescent="0.25">
      <c r="A31" s="56" t="s">
        <v>68</v>
      </c>
      <c r="B31" s="57" t="s">
        <v>69</v>
      </c>
      <c r="C31" s="58">
        <v>50</v>
      </c>
      <c r="D31" s="59"/>
      <c r="E31" s="35">
        <v>0</v>
      </c>
      <c r="F31" s="59"/>
      <c r="G31" s="34" t="s">
        <v>16</v>
      </c>
      <c r="H31" s="35">
        <f>+E31/C31</f>
        <v>0</v>
      </c>
      <c r="I31" s="36">
        <v>0</v>
      </c>
      <c r="J31" s="37">
        <f>IFERROR(ROUND((+H31/I31),1),0)</f>
        <v>0</v>
      </c>
    </row>
    <row r="32" ht="27.95" customHeight="1" hidden="1" spans="1:10" x14ac:dyDescent="0.25">
      <c r="A32" s="56" t="s">
        <v>70</v>
      </c>
      <c r="B32" s="57" t="s">
        <v>71</v>
      </c>
      <c r="C32" s="58">
        <v>70</v>
      </c>
      <c r="D32" s="59"/>
      <c r="E32" s="35">
        <v>0</v>
      </c>
      <c r="F32" s="59"/>
      <c r="G32" s="34" t="s">
        <v>16</v>
      </c>
      <c r="H32" s="35">
        <f>+E32/C32</f>
        <v>0</v>
      </c>
      <c r="I32" s="36">
        <v>0</v>
      </c>
      <c r="J32" s="37">
        <f>IFERROR(ROUND((+H32/I32),1),0)</f>
        <v>0</v>
      </c>
    </row>
    <row r="33" ht="27.95" customHeight="1" spans="1:10" x14ac:dyDescent="0.25">
      <c r="A33" s="56" t="s">
        <v>72</v>
      </c>
      <c r="B33" s="57" t="s">
        <v>73</v>
      </c>
      <c r="C33" s="58">
        <v>50</v>
      </c>
      <c r="D33" s="59"/>
      <c r="E33" s="35">
        <f>684+6100+1400+1400</f>
        <v>9584</v>
      </c>
      <c r="F33" s="59"/>
      <c r="G33" s="34" t="s">
        <v>16</v>
      </c>
      <c r="H33" s="35">
        <f>+E33/C33</f>
        <v>191.68</v>
      </c>
      <c r="I33" s="36">
        <v>46</v>
      </c>
      <c r="J33" s="37">
        <f>IFERROR(ROUND((+H33/I33),1),0)</f>
        <v>4.2</v>
      </c>
    </row>
    <row r="34" ht="27.95" customHeight="1" spans="1:10" x14ac:dyDescent="0.25">
      <c r="A34" s="56" t="s">
        <v>74</v>
      </c>
      <c r="B34" s="57" t="s">
        <v>75</v>
      </c>
      <c r="C34" s="58">
        <v>50</v>
      </c>
      <c r="D34" s="59"/>
      <c r="E34" s="35">
        <f>20+1400+1400+1400</f>
        <v>4220</v>
      </c>
      <c r="F34" s="59"/>
      <c r="G34" s="34" t="s">
        <v>16</v>
      </c>
      <c r="H34" s="35">
        <f>+E34/C34</f>
        <v>84.4</v>
      </c>
      <c r="I34" s="36">
        <v>80</v>
      </c>
      <c r="J34" s="37">
        <f>IFERROR(ROUND((+H34/I34),1),0)</f>
        <v>1.1</v>
      </c>
    </row>
    <row r="35" ht="27.95" customHeight="1" spans="1:10" x14ac:dyDescent="0.25">
      <c r="A35" s="51" t="s">
        <v>76</v>
      </c>
      <c r="B35" s="52" t="s">
        <v>77</v>
      </c>
      <c r="C35" s="53">
        <v>160</v>
      </c>
      <c r="D35" s="54"/>
      <c r="E35" s="23">
        <v>8002</v>
      </c>
      <c r="F35" s="54"/>
      <c r="G35" s="44" t="s">
        <v>31</v>
      </c>
      <c r="H35" s="23">
        <f>+E35/C35</f>
        <v>50.0125</v>
      </c>
      <c r="I35" s="45">
        <v>15</v>
      </c>
      <c r="J35" s="46">
        <f>IFERROR(ROUND((+H35/I35),1),0)</f>
        <v>3.3</v>
      </c>
    </row>
    <row r="36" ht="27.95" customHeight="1" spans="1:10" x14ac:dyDescent="0.25">
      <c r="A36" s="56" t="s">
        <v>78</v>
      </c>
      <c r="B36" s="57" t="s">
        <v>79</v>
      </c>
      <c r="C36" s="58">
        <v>160</v>
      </c>
      <c r="D36" s="59"/>
      <c r="E36" s="35">
        <v>10497</v>
      </c>
      <c r="F36" s="59"/>
      <c r="G36" s="34" t="s">
        <v>31</v>
      </c>
      <c r="H36" s="35">
        <f>+E36/C36</f>
        <v>65.60625</v>
      </c>
      <c r="I36" s="36">
        <v>24</v>
      </c>
      <c r="J36" s="37">
        <f>IFERROR(ROUND((+H36/I36),1),0)</f>
        <v>2.7</v>
      </c>
    </row>
    <row r="37" ht="27.95" customHeight="1" spans="1:10" x14ac:dyDescent="0.25">
      <c r="A37" s="56" t="s">
        <v>80</v>
      </c>
      <c r="B37" s="57" t="s">
        <v>81</v>
      </c>
      <c r="C37" s="58">
        <v>160</v>
      </c>
      <c r="D37" s="59"/>
      <c r="E37" s="35">
        <v>14476</v>
      </c>
      <c r="F37" s="59"/>
      <c r="G37" s="34" t="s">
        <v>31</v>
      </c>
      <c r="H37" s="35">
        <f>+E37/C37</f>
        <v>90.475</v>
      </c>
      <c r="I37" s="36">
        <v>21</v>
      </c>
      <c r="J37" s="37">
        <f>IFERROR(ROUND((+H37/I37),1),0)</f>
        <v>4.3</v>
      </c>
    </row>
    <row r="38" ht="27.95" customHeight="1" spans="1:10" x14ac:dyDescent="0.25">
      <c r="A38" s="56" t="s">
        <v>82</v>
      </c>
      <c r="B38" s="57" t="s">
        <v>83</v>
      </c>
      <c r="C38" s="58">
        <v>160</v>
      </c>
      <c r="D38" s="59"/>
      <c r="E38" s="35">
        <v>10922</v>
      </c>
      <c r="F38" s="59"/>
      <c r="G38" s="34" t="s">
        <v>31</v>
      </c>
      <c r="H38" s="35">
        <f>+E38/C38</f>
        <v>68.2625</v>
      </c>
      <c r="I38" s="36">
        <v>15</v>
      </c>
      <c r="J38" s="37">
        <f>IFERROR(ROUND((+H38/I38),1),0)</f>
        <v>4.6</v>
      </c>
    </row>
    <row r="39" ht="27.95" customHeight="1" spans="1:10" x14ac:dyDescent="0.25">
      <c r="A39" s="51" t="s">
        <v>84</v>
      </c>
      <c r="B39" s="52" t="s">
        <v>85</v>
      </c>
      <c r="C39" s="53">
        <v>70</v>
      </c>
      <c r="D39" s="54"/>
      <c r="E39" s="23">
        <v>0</v>
      </c>
      <c r="F39" s="54"/>
      <c r="G39" s="44" t="s">
        <v>16</v>
      </c>
      <c r="H39" s="23">
        <f>+E39/C39</f>
        <v>0</v>
      </c>
      <c r="I39" s="45">
        <v>0</v>
      </c>
      <c r="J39" s="46">
        <f>IFERROR(ROUND((+H39/I39),1),0)</f>
        <v>0</v>
      </c>
    </row>
    <row r="40" ht="27.95" customHeight="1" spans="1:10" x14ac:dyDescent="0.25">
      <c r="A40" s="56" t="s">
        <v>86</v>
      </c>
      <c r="B40" s="57" t="s">
        <v>87</v>
      </c>
      <c r="C40" s="58">
        <v>50</v>
      </c>
      <c r="D40" s="59"/>
      <c r="E40" s="35">
        <v>0</v>
      </c>
      <c r="F40" s="59"/>
      <c r="G40" s="34" t="s">
        <v>16</v>
      </c>
      <c r="H40" s="35">
        <f>+E40/C40</f>
        <v>0</v>
      </c>
      <c r="I40" s="36">
        <v>1</v>
      </c>
      <c r="J40" s="37">
        <f>IFERROR(ROUND((+H40/I40),1),0)</f>
        <v>0</v>
      </c>
    </row>
    <row r="41" ht="27.95" customHeight="1" spans="1:10" x14ac:dyDescent="0.25">
      <c r="A41" s="56" t="s">
        <v>88</v>
      </c>
      <c r="B41" s="57" t="s">
        <v>89</v>
      </c>
      <c r="C41" s="58">
        <v>160</v>
      </c>
      <c r="D41" s="59"/>
      <c r="E41" s="35">
        <v>150</v>
      </c>
      <c r="F41" s="59"/>
      <c r="G41" s="34" t="s">
        <v>31</v>
      </c>
      <c r="H41" s="35">
        <f>+E41/C41</f>
        <v>0.9375</v>
      </c>
      <c r="I41" s="36">
        <v>1</v>
      </c>
      <c r="J41" s="37">
        <f>IFERROR(ROUND((+H41/I41),1),0)</f>
        <v>0.9</v>
      </c>
    </row>
    <row r="42" ht="27.95" customHeight="1" spans="1:10" x14ac:dyDescent="0.25">
      <c r="A42" s="56" t="s">
        <v>90</v>
      </c>
      <c r="B42" s="57" t="s">
        <v>91</v>
      </c>
      <c r="C42" s="58">
        <v>160</v>
      </c>
      <c r="D42" s="59"/>
      <c r="E42" s="35">
        <v>0</v>
      </c>
      <c r="F42" s="59"/>
      <c r="G42" s="34" t="s">
        <v>31</v>
      </c>
      <c r="H42" s="35">
        <f>+E42/C42</f>
        <v>0</v>
      </c>
      <c r="I42" s="36">
        <v>0</v>
      </c>
      <c r="J42" s="37">
        <f>IFERROR(ROUND((+H42/I42),1),0)</f>
        <v>0</v>
      </c>
    </row>
    <row r="43" ht="27.95" customHeight="1" spans="1:10" x14ac:dyDescent="0.25">
      <c r="A43" s="60" t="s">
        <v>92</v>
      </c>
      <c r="B43" s="61" t="s">
        <v>93</v>
      </c>
      <c r="C43" s="62">
        <v>84</v>
      </c>
      <c r="D43" s="63"/>
      <c r="E43" s="64">
        <f>2733-1</f>
        <v>2732</v>
      </c>
      <c r="F43" s="63"/>
      <c r="G43" s="65" t="s">
        <v>16</v>
      </c>
      <c r="H43" s="35">
        <f>+E43/C43</f>
        <v>32.523809523809526</v>
      </c>
      <c r="I43" s="36">
        <v>0</v>
      </c>
      <c r="J43" s="37">
        <f>IFERROR(ROUND((+H43/I43),1),0)</f>
        <v>0</v>
      </c>
    </row>
    <row r="44" ht="27.95" customHeight="1" spans="1:10" x14ac:dyDescent="0.25">
      <c r="A44" s="60" t="s">
        <v>94</v>
      </c>
      <c r="B44" s="61" t="s">
        <v>95</v>
      </c>
      <c r="C44" s="62">
        <v>50</v>
      </c>
      <c r="D44" s="63"/>
      <c r="E44" s="66">
        <v>626</v>
      </c>
      <c r="F44" s="63"/>
      <c r="G44" s="65" t="s">
        <v>16</v>
      </c>
      <c r="H44" s="35">
        <f>+E44/C44</f>
        <v>12.52</v>
      </c>
      <c r="I44" s="36">
        <v>14</v>
      </c>
      <c r="J44" s="37">
        <f>IFERROR(ROUND((+H44/I44),1),0)</f>
        <v>0.9</v>
      </c>
    </row>
    <row r="45" ht="27.95" customHeight="1" spans="1:10" x14ac:dyDescent="0.25">
      <c r="A45" s="60" t="s">
        <v>96</v>
      </c>
      <c r="B45" s="61" t="s">
        <v>97</v>
      </c>
      <c r="C45" s="62">
        <v>136</v>
      </c>
      <c r="D45" s="63"/>
      <c r="E45" s="66">
        <v>9983</v>
      </c>
      <c r="F45" s="63"/>
      <c r="G45" s="65" t="s">
        <v>16</v>
      </c>
      <c r="H45" s="35">
        <f>+E45/C45</f>
        <v>73.40441176470588</v>
      </c>
      <c r="I45" s="36">
        <v>27</v>
      </c>
      <c r="J45" s="37">
        <f>IFERROR(ROUND((+H45/I45),1),0)</f>
        <v>2.7</v>
      </c>
    </row>
    <row r="46" ht="27.95" customHeight="1" spans="1:10" x14ac:dyDescent="0.25">
      <c r="A46" s="67" t="s">
        <v>98</v>
      </c>
      <c r="B46" s="68" t="s">
        <v>99</v>
      </c>
      <c r="C46" s="69">
        <v>160</v>
      </c>
      <c r="D46" s="70"/>
      <c r="E46" s="35">
        <v>8280</v>
      </c>
      <c r="F46" s="70"/>
      <c r="G46" s="71" t="s">
        <v>16</v>
      </c>
      <c r="H46" s="72">
        <f>+E46/C46</f>
        <v>51.75</v>
      </c>
      <c r="I46" s="36">
        <v>2</v>
      </c>
      <c r="J46" s="37">
        <f>IFERROR(ROUND((+H46/I46),1),0)</f>
        <v>25.9</v>
      </c>
    </row>
    <row r="47" ht="27.95" customHeight="1" spans="1:10" x14ac:dyDescent="0.25">
      <c r="A47" s="67" t="s">
        <v>100</v>
      </c>
      <c r="B47" s="68" t="s">
        <v>101</v>
      </c>
      <c r="C47" s="69">
        <v>160</v>
      </c>
      <c r="D47" s="70"/>
      <c r="E47" s="72">
        <v>2140</v>
      </c>
      <c r="F47" s="70"/>
      <c r="G47" s="71" t="s">
        <v>16</v>
      </c>
      <c r="H47" s="72">
        <f>+E47/C47</f>
        <v>13.375</v>
      </c>
      <c r="I47" s="36">
        <v>0</v>
      </c>
      <c r="J47" s="37">
        <f>IFERROR(ROUND((+H47/I47),1),0)</f>
        <v>0</v>
      </c>
    </row>
    <row r="48" ht="27.95" customHeight="1" spans="1:10" x14ac:dyDescent="0.25">
      <c r="A48" s="73" t="s">
        <v>102</v>
      </c>
      <c r="B48" s="74" t="s">
        <v>103</v>
      </c>
      <c r="C48" s="75">
        <v>160</v>
      </c>
      <c r="D48" s="76"/>
      <c r="E48" s="77">
        <v>0</v>
      </c>
      <c r="F48" s="76"/>
      <c r="G48" s="78" t="s">
        <v>16</v>
      </c>
      <c r="H48" s="79">
        <f>+E48/C48</f>
        <v>0</v>
      </c>
      <c r="I48" s="80">
        <v>0</v>
      </c>
      <c r="J48" s="81">
        <f>IFERROR(ROUND((+H48/I48),1),0)</f>
        <v>0</v>
      </c>
    </row>
    <row r="49" ht="3.95" customHeight="1" spans="1:8" x14ac:dyDescent="0.25">
      <c r="A49" s="82"/>
      <c r="B49" s="82"/>
      <c r="E49" s="28"/>
      <c r="F49" s="28"/>
      <c r="G49" s="28"/>
      <c r="H49" s="83"/>
    </row>
    <row r="50" ht="26.25" customHeight="1" spans="1:8" x14ac:dyDescent="0.25">
      <c r="A50" s="84"/>
      <c r="B50" s="84"/>
      <c r="C50" s="84"/>
      <c r="D50" s="84"/>
      <c r="E50" s="85">
        <f>SUM(E5:E49)</f>
        <v>467280</v>
      </c>
      <c r="F50" s="84"/>
      <c r="G50" s="84"/>
      <c r="H50" s="86">
        <f>SUM(H5:H49)</f>
        <v>5751.733541801337</v>
      </c>
    </row>
    <row r="51" ht="15" customHeight="1" spans="1:8" x14ac:dyDescent="0.25">
      <c r="A51" s="82"/>
      <c r="B51" s="82"/>
      <c r="E51" s="28"/>
      <c r="F51" s="28"/>
      <c r="G51" s="28"/>
      <c r="H51" s="83"/>
    </row>
    <row r="52" ht="21" customHeight="1" spans="1:8" x14ac:dyDescent="0.25">
      <c r="A52" s="82"/>
      <c r="B52" s="82"/>
      <c r="E52" s="28"/>
      <c r="F52" s="28"/>
      <c r="G52" s="28"/>
      <c r="H52" s="83"/>
    </row>
    <row r="53" ht="21" customHeight="1" spans="5:8" x14ac:dyDescent="0.25">
      <c r="E53" s="28"/>
      <c r="F53" s="28"/>
      <c r="G53" s="28"/>
      <c r="H53" s="83"/>
    </row>
    <row r="54" ht="21" customHeight="1" spans="5:8" x14ac:dyDescent="0.25">
      <c r="E54" s="28"/>
      <c r="F54" s="28"/>
      <c r="G54" s="28"/>
      <c r="H54" s="83"/>
    </row>
    <row r="55" ht="21" customHeight="1" spans="5:8" x14ac:dyDescent="0.25">
      <c r="E55" s="28"/>
      <c r="F55" s="28"/>
      <c r="G55" s="28"/>
      <c r="H55" s="83"/>
    </row>
    <row r="56" ht="21" customHeight="1" spans="5:8" x14ac:dyDescent="0.25">
      <c r="E56" s="28"/>
      <c r="F56" s="28"/>
      <c r="G56" s="28"/>
      <c r="H56" s="83"/>
    </row>
    <row r="57" ht="21" customHeight="1" spans="5:8" x14ac:dyDescent="0.25">
      <c r="E57" s="28"/>
      <c r="F57" s="28"/>
      <c r="G57" s="28"/>
      <c r="H57" s="83"/>
    </row>
    <row r="58" ht="21" customHeight="1" spans="5:8" x14ac:dyDescent="0.25">
      <c r="E58" s="28"/>
      <c r="F58" s="28"/>
      <c r="G58" s="28"/>
      <c r="H58" s="83"/>
    </row>
    <row r="59" ht="21" customHeight="1" spans="5:8" x14ac:dyDescent="0.25">
      <c r="E59" s="28"/>
      <c r="F59" s="28"/>
      <c r="G59" s="28"/>
      <c r="H59" s="83"/>
    </row>
    <row r="60" ht="21" customHeight="1" spans="5:8" x14ac:dyDescent="0.25">
      <c r="E60" s="28"/>
      <c r="F60" s="28"/>
      <c r="G60" s="28"/>
      <c r="H60" s="83"/>
    </row>
    <row r="61" ht="21" customHeight="1" spans="5:8" x14ac:dyDescent="0.25">
      <c r="E61" s="28"/>
      <c r="F61" s="28"/>
      <c r="G61" s="28"/>
      <c r="H61" s="83"/>
    </row>
    <row r="62" ht="21" customHeight="1" spans="5:8" x14ac:dyDescent="0.25">
      <c r="E62" s="87"/>
      <c r="F62" s="28"/>
      <c r="G62" s="28"/>
      <c r="H62" s="83"/>
    </row>
    <row r="63" ht="21" customHeight="1" spans="5:8" x14ac:dyDescent="0.25">
      <c r="E63" s="28"/>
      <c r="F63" s="28"/>
      <c r="G63" s="28"/>
      <c r="H63" s="83"/>
    </row>
    <row r="64" ht="21" customHeight="1" spans="5:8" x14ac:dyDescent="0.25">
      <c r="E64" s="87"/>
      <c r="F64" s="28"/>
      <c r="G64" s="28"/>
      <c r="H64" s="83"/>
    </row>
    <row r="65" ht="21" customHeight="1" spans="5:8" x14ac:dyDescent="0.25">
      <c r="E65" s="28"/>
      <c r="F65" s="28"/>
      <c r="G65" s="28"/>
      <c r="H65" s="83"/>
    </row>
    <row r="66" ht="21" customHeight="1" spans="5:8" x14ac:dyDescent="0.25">
      <c r="E66" s="87"/>
      <c r="F66" s="28"/>
      <c r="G66" s="28"/>
      <c r="H66" s="83"/>
    </row>
    <row r="67" ht="21" customHeight="1" spans="5:8" x14ac:dyDescent="0.25">
      <c r="E67" s="28"/>
      <c r="F67" s="28"/>
      <c r="G67" s="28"/>
      <c r="H67" s="83"/>
    </row>
    <row r="68" ht="21" customHeight="1" spans="5:8" x14ac:dyDescent="0.25">
      <c r="E68" s="87"/>
      <c r="F68" s="28"/>
      <c r="G68" s="28"/>
      <c r="H68" s="83"/>
    </row>
    <row r="69" ht="21" customHeight="1" spans="5:8" x14ac:dyDescent="0.25">
      <c r="E69" s="87"/>
      <c r="F69" s="28"/>
      <c r="G69" s="28"/>
      <c r="H69" s="83"/>
    </row>
    <row r="70" ht="21" customHeight="1" spans="5:8" x14ac:dyDescent="0.25">
      <c r="E70" s="87"/>
      <c r="H70" s="83"/>
    </row>
    <row r="71" ht="21" customHeight="1" spans="5:8" x14ac:dyDescent="0.25">
      <c r="E71" s="87"/>
      <c r="H71" s="83"/>
    </row>
    <row r="72" ht="21" customHeight="1" spans="5:8" x14ac:dyDescent="0.25">
      <c r="E72" s="87"/>
      <c r="H72" s="83"/>
    </row>
    <row r="73" ht="21" customHeight="1" spans="5:8" x14ac:dyDescent="0.25">
      <c r="E73" s="87"/>
      <c r="H73" s="83"/>
    </row>
    <row r="74" ht="21" customHeight="1" spans="5:8" x14ac:dyDescent="0.25">
      <c r="E74" s="87"/>
      <c r="H74" s="83"/>
    </row>
    <row r="75" ht="21" customHeight="1" spans="5:8" x14ac:dyDescent="0.25">
      <c r="E75" s="87"/>
      <c r="H75" s="83"/>
    </row>
    <row r="77" spans="5:5" x14ac:dyDescent="0.25">
      <c r="E77" s="28"/>
    </row>
    <row r="80" spans="7:7" x14ac:dyDescent="0.25">
      <c r="G80" s="88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:H21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2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3:H24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5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6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8:H29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30">
    <cfRule type="cellIs" dxfId="36" priority="23" operator="lessThan">
      <formula>300</formula>
    </cfRule>
    <cfRule type="cellIs" dxfId="37" priority="24" operator="greaterThan">
      <formula>600</formula>
    </cfRule>
  </conditionalFormatting>
  <conditionalFormatting sqref="H31">
    <cfRule type="cellIs" dxfId="38" priority="10" operator="greaterThan">
      <formula>1500</formula>
    </cfRule>
  </conditionalFormatting>
  <conditionalFormatting sqref="H31:H34">
    <cfRule type="cellIs" dxfId="39" priority="7" operator="lessThan">
      <formula>500</formula>
    </cfRule>
  </conditionalFormatting>
  <conditionalFormatting sqref="H32">
    <cfRule type="cellIs" dxfId="40" priority="8" operator="greaterThan">
      <formula>800</formula>
    </cfRule>
  </conditionalFormatting>
  <conditionalFormatting sqref="H33">
    <cfRule type="cellIs" dxfId="41" priority="32" operator="greaterThan">
      <formula>1500</formula>
    </cfRule>
  </conditionalFormatting>
  <conditionalFormatting sqref="H34">
    <cfRule type="cellIs" dxfId="42" priority="28" operator="greaterThan">
      <formula>800</formula>
    </cfRule>
  </conditionalFormatting>
  <conditionalFormatting sqref="H35:H38">
    <cfRule type="cellIs" dxfId="43" priority="12" operator="lessThan">
      <formula>500</formula>
    </cfRule>
    <cfRule type="cellIs" dxfId="44" priority="13" operator="greaterThan">
      <formula>800</formula>
    </cfRule>
  </conditionalFormatting>
  <conditionalFormatting sqref="H39:H40 H43:H48">
    <cfRule type="cellIs" dxfId="45" priority="25" operator="lessThan">
      <formula>200</formula>
    </cfRule>
    <cfRule type="cellIs" dxfId="46" priority="26" operator="greaterThan">
      <formula>600</formula>
    </cfRule>
  </conditionalFormatting>
  <conditionalFormatting sqref="H41:H42">
    <cfRule type="cellIs" dxfId="47" priority="5" operator="lessThan">
      <formula>500</formula>
    </cfRule>
    <cfRule type="cellIs" dxfId="48" priority="6" operator="greaterThan">
      <formula>800</formula>
    </cfRule>
  </conditionalFormatting>
  <conditionalFormatting sqref="J5:J48">
    <cfRule type="cellIs" dxfId="49" priority="1" operator="greaterThan">
      <formula>4</formula>
    </cfRule>
    <cfRule type="cellIs" dxfId="50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6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2026-09-17T14:21:02Z</cp:lastPrinted>
  <dcterms:created xsi:type="dcterms:W3CDTF">2014-09-02T11:57:04Z</dcterms:created>
  <dcterms:modified xsi:type="dcterms:W3CDTF">2026-09-17T14:21:36Z</dcterms:modified>
</cp:coreProperties>
</file>