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Sistema'!$A1:$R47</definedName>
  </definedNames>
  <calcPr calcId="171027"/>
</workbook>
</file>

<file path=xl/sharedStrings.xml><?xml version="1.0" encoding="utf-8"?>
<sst xmlns="http://schemas.openxmlformats.org/spreadsheetml/2006/main" count="135" uniqueCount="97">
  <si>
    <t>MULTINACIONAL DE SABORES C.A.</t>
  </si>
  <si>
    <t>Área: PRINCIPAL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</si>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</sst>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9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rgb="FFFF0000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8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99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7" fillId="2" borderId="13" xfId="0" applyFont="1" applyFill="1" applyBorder="1"/>
    <xf numFmtId="0" fontId="0" fillId="2" borderId="13" xfId="0" applyFill="1" applyBorder="1"/>
    <xf numFmtId="0" fontId="2" fillId="2" borderId="13" xfId="0" applyFont="1" applyFill="1" applyBorder="1" applyAlignment="1">
      <alignment horizontal="center"/>
    </xf>
    <xf numFmtId="3" fontId="8" fillId="2" borderId="14" xfId="0" applyNumberFormat="1" applyFont="1" applyFill="1" applyBorder="1"/>
    <xf numFmtId="3" fontId="0" fillId="2" borderId="13" xfId="0" applyNumberFormat="1" applyFill="1" applyBorder="1"/>
    <xf numFmtId="3" fontId="8" fillId="2" borderId="13" xfId="0" applyNumberFormat="1" applyFont="1" applyFill="1" applyBorder="1"/>
    <xf numFmtId="0" fontId="8" fillId="2" borderId="13" xfId="0" applyFont="1" applyFill="1" applyBorder="1"/>
    <xf numFmtId="0" fontId="8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6" fillId="0" borderId="14" xfId="0" applyFont="1" applyBorder="1"/>
    <xf numFmtId="0" fontId="0" fillId="0" borderId="14" xfId="0" applyBorder="1"/>
    <xf numFmtId="0" fontId="2" fillId="0" borderId="14" xfId="0" applyFont="1" applyBorder="1" applyAlignment="1">
      <alignment horizontal="center"/>
    </xf>
    <xf numFmtId="3" fontId="8" fillId="3" borderId="14" xfId="0" applyNumberFormat="1" applyFont="1" applyFill="1" applyBorder="1"/>
    <xf numFmtId="3" fontId="0" fillId="0" borderId="14" xfId="0" applyNumberFormat="1" applyBorder="1"/>
    <xf numFmtId="3" fontId="8" fillId="0" borderId="14" xfId="0" applyNumberFormat="1" applyFont="1" applyBorder="1"/>
    <xf numFmtId="0" fontId="8" fillId="0" borderId="14" xfId="0" applyFont="1" applyBorder="1"/>
    <xf numFmtId="0" fontId="8" fillId="0" borderId="17" xfId="0" applyFont="1" applyBorder="1"/>
    <xf numFmtId="0" fontId="7" fillId="0" borderId="14" xfId="0" applyFont="1" applyBorder="1"/>
    <xf numFmtId="0" fontId="6" fillId="0" borderId="16" xfId="0" applyFont="1" applyBorder="1"/>
    <xf numFmtId="0" fontId="9" fillId="0" borderId="0" xfId="0" applyFont="1"/>
    <xf numFmtId="0" fontId="6" fillId="2" borderId="16" xfId="0" applyFont="1" applyFill="1" applyBorder="1"/>
    <xf numFmtId="0" fontId="6" fillId="2" borderId="14" xfId="0" applyFont="1" applyFill="1" applyBorder="1"/>
    <xf numFmtId="0" fontId="0" fillId="2" borderId="14" xfId="0" applyFill="1" applyBorder="1"/>
    <xf numFmtId="0" fontId="2" fillId="2" borderId="14" xfId="0" applyFont="1" applyFill="1" applyBorder="1" applyAlignment="1">
      <alignment horizontal="center"/>
    </xf>
    <xf numFmtId="3" fontId="0" fillId="2" borderId="14" xfId="0" applyNumberFormat="1" applyFill="1" applyBorder="1"/>
    <xf numFmtId="0" fontId="8" fillId="2" borderId="14" xfId="0" applyFont="1" applyFill="1" applyBorder="1"/>
    <xf numFmtId="0" fontId="8" fillId="2" borderId="17" xfId="0" applyFont="1" applyFill="1" applyBorder="1"/>
    <xf numFmtId="0" fontId="2" fillId="0" borderId="0" xfId="0" applyFont="1"/>
    <xf numFmtId="0" fontId="10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2" fillId="2" borderId="14" xfId="0" applyNumberFormat="1" applyFont="1" applyFill="1" applyBorder="1" applyAlignment="1">
      <alignment horizontal="center" vertical="center"/>
    </xf>
    <xf numFmtId="3" fontId="11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2" fillId="0" borderId="14" xfId="0" applyNumberFormat="1" applyFont="1" applyBorder="1" applyAlignment="1">
      <alignment horizontal="center" vertical="center"/>
    </xf>
    <xf numFmtId="3" fontId="12" fillId="0" borderId="16" xfId="0" applyNumberFormat="1" applyFont="1" applyBorder="1" applyAlignment="1">
      <alignment horizontal="left" vertical="top"/>
    </xf>
    <xf numFmtId="3" fontId="12" fillId="0" borderId="14" xfId="0" applyNumberFormat="1" applyFont="1" applyBorder="1" applyAlignment="1">
      <alignment horizontal="left" vertical="top"/>
    </xf>
    <xf numFmtId="3" fontId="12" fillId="0" borderId="14" xfId="0" applyNumberFormat="1" applyFont="1" applyBorder="1" applyAlignment="1">
      <alignment horizontal="center" vertical="top"/>
    </xf>
    <xf numFmtId="3" fontId="12" fillId="0" borderId="14" xfId="0" applyNumberFormat="1" applyFont="1" applyBorder="1" applyAlignment="1">
      <alignment horizontal="center" vertical="center"/>
    </xf>
    <xf numFmtId="3" fontId="13" fillId="0" borderId="14" xfId="0" applyNumberFormat="1" applyFont="1" applyBorder="1" applyAlignment="1">
      <alignment horizontal="center" vertical="center"/>
    </xf>
    <xf numFmtId="3" fontId="14" fillId="3" borderId="14" xfId="0" applyNumberFormat="1" applyFont="1" applyFill="1" applyBorder="1"/>
    <xf numFmtId="3" fontId="13" fillId="0" borderId="14" xfId="0" applyNumberFormat="1" applyFont="1" applyBorder="1"/>
    <xf numFmtId="3" fontId="14" fillId="4" borderId="14" xfId="0" applyNumberFormat="1" applyFont="1" applyFill="1" applyBorder="1"/>
    <xf numFmtId="3" fontId="14" fillId="0" borderId="14" xfId="0" applyNumberFormat="1" applyFont="1" applyBorder="1"/>
    <xf numFmtId="3" fontId="15" fillId="0" borderId="16" xfId="0" applyNumberFormat="1" applyFont="1" applyBorder="1" applyAlignment="1">
      <alignment horizontal="left" vertical="top"/>
    </xf>
    <xf numFmtId="3" fontId="15" fillId="0" borderId="14" xfId="0" applyNumberFormat="1" applyFont="1" applyBorder="1" applyAlignment="1">
      <alignment horizontal="left" vertical="top"/>
    </xf>
    <xf numFmtId="3" fontId="15" fillId="0" borderId="14" xfId="0" applyNumberFormat="1" applyFont="1" applyBorder="1" applyAlignment="1">
      <alignment horizontal="center" vertical="top"/>
    </xf>
    <xf numFmtId="3" fontId="15" fillId="0" borderId="14" xfId="0" applyNumberFormat="1" applyFont="1" applyBorder="1" applyAlignment="1">
      <alignment horizontal="center" vertical="center"/>
    </xf>
    <xf numFmtId="3" fontId="16" fillId="0" borderId="14" xfId="0" applyNumberFormat="1" applyFont="1" applyBorder="1" applyAlignment="1">
      <alignment horizontal="center" vertical="center"/>
    </xf>
    <xf numFmtId="3" fontId="16" fillId="0" borderId="14" xfId="0" applyNumberFormat="1" applyFont="1" applyBorder="1"/>
    <xf numFmtId="3" fontId="11" fillId="0" borderId="14" xfId="0" applyNumberFormat="1" applyFont="1" applyBorder="1"/>
    <xf numFmtId="3" fontId="15" fillId="0" borderId="18" xfId="0" applyNumberFormat="1" applyFont="1" applyBorder="1" applyAlignment="1">
      <alignment horizontal="left" vertical="top"/>
    </xf>
    <xf numFmtId="3" fontId="15" fillId="0" borderId="19" xfId="0" applyNumberFormat="1" applyFont="1" applyBorder="1" applyAlignment="1">
      <alignment horizontal="left" vertical="top"/>
    </xf>
    <xf numFmtId="3" fontId="15" fillId="0" borderId="19" xfId="0" applyNumberFormat="1" applyFont="1" applyBorder="1" applyAlignment="1">
      <alignment horizontal="center" vertical="top"/>
    </xf>
    <xf numFmtId="3" fontId="15" fillId="0" borderId="19" xfId="0" applyNumberFormat="1" applyFont="1" applyBorder="1" applyAlignment="1">
      <alignment horizontal="center" vertical="center"/>
    </xf>
    <xf numFmtId="3" fontId="16" fillId="0" borderId="19" xfId="0" applyNumberFormat="1" applyFont="1" applyBorder="1" applyAlignment="1">
      <alignment horizontal="center" vertical="center"/>
    </xf>
    <xf numFmtId="3" fontId="8" fillId="0" borderId="19" xfId="0" applyNumberFormat="1" applyFont="1" applyBorder="1"/>
    <xf numFmtId="3" fontId="16" fillId="0" borderId="19" xfId="0" applyNumberFormat="1" applyFont="1" applyBorder="1"/>
    <xf numFmtId="3" fontId="11" fillId="0" borderId="19" xfId="0" applyNumberFormat="1" applyFont="1" applyBorder="1"/>
    <xf numFmtId="0" fontId="8" fillId="0" borderId="19" xfId="0" applyFont="1" applyBorder="1"/>
    <xf numFmtId="0" fontId="8" fillId="0" borderId="20" xfId="0" applyFont="1" applyBorder="1"/>
    <xf numFmtId="0" fontId="0" fillId="0" borderId="0" xfId="0" applyAlignment="1">
      <alignment vertical="top"/>
    </xf>
    <xf numFmtId="3" fontId="17" fillId="0" borderId="0" xfId="0" applyNumberFormat="1" applyFont="1"/>
    <xf numFmtId="0" fontId="0" fillId="2" borderId="0" xfId="0" applyFill="1"/>
    <xf numFmtId="3" fontId="8" fillId="2" borderId="0" xfId="0" applyNumberFormat="1" applyFont="1" applyFill="1"/>
    <xf numFmtId="3" fontId="8" fillId="0" borderId="0" xfId="0" applyNumberFormat="1" applyFont="1"/>
    <xf numFmtId="3" fontId="6" fillId="0" borderId="0" xfId="0" applyNumberFormat="1" applyFont="1"/>
    <xf numFmtId="0" fontId="18" fillId="0" borderId="0" xfId="0" applyFont="1"/>
    <xf numFmtId="164" fontId="0" fillId="0" borderId="0" xfId="0" applyNumberFormat="1"/>
  </cellXfs>
  <cellStyles count="1"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77"/>
  <sheetViews>
    <sheetView workbookViewId="0" zoomScale="80" zoomScaleNormal="80">
      <selection activeCell="S1" sqref="S1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3.28515625" customWidth="1"/>
    <col min="14" max="14" width="18.85546875" customWidth="1"/>
    <col min="15" max="15" width="17.28515625" customWidth="1"/>
    <col min="16" max="16" width="2.140625" customWidth="1"/>
    <col min="17" max="17" width="0.28515625" customWidth="1"/>
    <col min="18" max="18" width="3.42578125" customWidth="1"/>
    <col min="19" max="19" width="15.28515625" customWidth="1"/>
  </cols>
  <sheetData>
    <row r="1" ht="15.75" customHeight="1" spans="1:15" x14ac:dyDescent="0.25">
      <c r="A1" t="s">
        <v>0</v>
      </c>
      <c r="D1" t="s">
        <v>1</v>
      </c>
      <c r="I1" s="1"/>
      <c r="J1" s="2" t="s">
        <v>2</v>
      </c>
      <c r="K1" s="3"/>
      <c r="O1" s="4">
        <v>46277</v>
      </c>
    </row>
    <row r="2" ht="15.75" customHeight="1" spans="1:15" x14ac:dyDescent="0.25">
      <c r="A2" t="s">
        <v>3</v>
      </c>
      <c r="I2" s="5"/>
      <c r="J2" s="6" t="s">
        <v>4</v>
      </c>
      <c r="K2" s="7"/>
      <c r="O2" s="8">
        <v>0.25</v>
      </c>
    </row>
    <row r="3" ht="16.5" customHeight="1" spans="1:11" x14ac:dyDescent="0.25">
      <c r="A3" t="s">
        <v>5</v>
      </c>
      <c r="I3" s="9"/>
      <c r="J3" s="10" t="s">
        <v>6</v>
      </c>
      <c r="K3" s="11"/>
    </row>
    <row r="4" ht="35.1" customHeight="1" spans="1:15" s="12" customFormat="1" x14ac:dyDescent="0.25">
      <c r="A4" s="13" t="s">
        <v>7</v>
      </c>
      <c r="B4" s="14" t="s">
        <v>8</v>
      </c>
      <c r="C4" s="14"/>
      <c r="D4" s="14"/>
      <c r="E4" s="14"/>
      <c r="F4" s="14"/>
      <c r="G4" s="14"/>
      <c r="H4" s="15" t="s">
        <v>9</v>
      </c>
      <c r="I4" s="14"/>
      <c r="J4" s="14" t="s">
        <v>10</v>
      </c>
      <c r="K4" s="14"/>
      <c r="L4" s="14" t="s">
        <v>11</v>
      </c>
      <c r="M4" s="16" t="s">
        <v>12</v>
      </c>
      <c r="N4" s="17" t="s">
        <v>13</v>
      </c>
      <c r="O4" s="18" t="s">
        <v>14</v>
      </c>
    </row>
    <row r="5" ht="27.95" customHeight="1" spans="1:19" x14ac:dyDescent="0.25">
      <c r="A5" s="19" t="s">
        <v>15</v>
      </c>
      <c r="B5" s="20" t="s">
        <v>16</v>
      </c>
      <c r="C5" s="20"/>
      <c r="D5" s="20"/>
      <c r="E5" s="21"/>
      <c r="F5" s="22"/>
      <c r="G5" s="22"/>
      <c r="H5" s="23">
        <v>80</v>
      </c>
      <c r="I5" s="22"/>
      <c r="J5" s="24">
        <f>4330+17760+17600</f>
        <v>39690</v>
      </c>
      <c r="K5" s="25"/>
      <c r="L5" s="25" t="s">
        <v>17</v>
      </c>
      <c r="M5" s="26">
        <f>+J5/H5</f>
        <v>496.125</v>
      </c>
      <c r="N5" s="27">
        <v>804</v>
      </c>
      <c r="O5" s="28">
        <f>IFERROR(ROUND((+M5/N5),1),0)</f>
        <v>0.6</v>
      </c>
      <c r="S5" s="29"/>
    </row>
    <row r="6" ht="27.95" customHeight="1" spans="1:18" x14ac:dyDescent="0.25">
      <c r="A6" s="30" t="s">
        <v>18</v>
      </c>
      <c r="B6" s="31" t="s">
        <v>19</v>
      </c>
      <c r="C6" s="31"/>
      <c r="D6" s="31"/>
      <c r="E6" s="32"/>
      <c r="F6" s="33"/>
      <c r="G6" s="33"/>
      <c r="H6" s="34">
        <v>80</v>
      </c>
      <c r="I6" s="33"/>
      <c r="J6" s="35">
        <f>9807-2</f>
        <v>9805</v>
      </c>
      <c r="K6" s="36"/>
      <c r="L6" s="36" t="s">
        <v>17</v>
      </c>
      <c r="M6" s="37">
        <f>+J6/H6</f>
        <v>122.5625</v>
      </c>
      <c r="N6" s="38">
        <v>111</v>
      </c>
      <c r="O6" s="39">
        <f>IFERROR(ROUND((+M6/N6),1),0)</f>
        <v>1.1</v>
      </c>
      <c r="R6" s="29"/>
    </row>
    <row r="7" ht="27.95" customHeight="1" spans="1:15" x14ac:dyDescent="0.25">
      <c r="A7" s="30" t="s">
        <v>20</v>
      </c>
      <c r="B7" s="31" t="s">
        <v>21</v>
      </c>
      <c r="C7" s="31"/>
      <c r="D7" s="31"/>
      <c r="E7" s="40"/>
      <c r="F7" s="33"/>
      <c r="G7" s="33"/>
      <c r="H7" s="34">
        <v>80</v>
      </c>
      <c r="I7" s="33"/>
      <c r="J7" s="37">
        <f>33673+9319</f>
        <v>42992</v>
      </c>
      <c r="K7" s="36"/>
      <c r="L7" s="36" t="s">
        <v>17</v>
      </c>
      <c r="M7" s="37">
        <f>+J7/H7</f>
        <v>537.4</v>
      </c>
      <c r="N7" s="38">
        <v>240</v>
      </c>
      <c r="O7" s="39">
        <f>IFERROR(ROUND((+M7/N7),1),0)</f>
        <v>2.2</v>
      </c>
    </row>
    <row r="8" ht="27.95" customHeight="1" spans="1:15" x14ac:dyDescent="0.25">
      <c r="A8" s="30" t="s">
        <v>22</v>
      </c>
      <c r="B8" s="31" t="s">
        <v>23</v>
      </c>
      <c r="C8" s="31"/>
      <c r="D8" s="31"/>
      <c r="E8" s="32"/>
      <c r="F8" s="33"/>
      <c r="G8" s="33"/>
      <c r="H8" s="34">
        <v>80</v>
      </c>
      <c r="I8" s="33"/>
      <c r="J8" s="37">
        <f>22+2000</f>
        <v>2022</v>
      </c>
      <c r="K8" s="36"/>
      <c r="L8" s="36" t="s">
        <v>17</v>
      </c>
      <c r="M8" s="37">
        <f>+J8/H8</f>
        <v>25.275</v>
      </c>
      <c r="N8" s="38">
        <v>83</v>
      </c>
      <c r="O8" s="39">
        <f>IFERROR(ROUND((+M8/N8),1),0)</f>
        <v>0.3</v>
      </c>
    </row>
    <row r="9" ht="24.95" customHeight="1" spans="1:15" x14ac:dyDescent="0.25">
      <c r="A9" s="30" t="s">
        <v>24</v>
      </c>
      <c r="B9" s="31" t="s">
        <v>25</v>
      </c>
      <c r="C9" s="31"/>
      <c r="D9" s="31"/>
      <c r="E9" s="32"/>
      <c r="F9" s="33"/>
      <c r="G9" s="33"/>
      <c r="H9" s="34">
        <v>80</v>
      </c>
      <c r="I9" s="33"/>
      <c r="J9" s="37">
        <v>0</v>
      </c>
      <c r="K9" s="36"/>
      <c r="L9" s="36" t="s">
        <v>17</v>
      </c>
      <c r="M9" s="37">
        <f>+J9/H9</f>
        <v>0</v>
      </c>
      <c r="N9" s="38">
        <v>86</v>
      </c>
      <c r="O9" s="39">
        <f>IFERROR(ROUND((+M9/N9),1),0)</f>
        <v>0</v>
      </c>
    </row>
    <row r="10" ht="27.95" customHeight="1" spans="1:15" x14ac:dyDescent="0.25">
      <c r="A10" s="30" t="s">
        <v>26</v>
      </c>
      <c r="B10" s="31" t="s">
        <v>27</v>
      </c>
      <c r="C10" s="31"/>
      <c r="D10" s="31"/>
      <c r="E10" s="32"/>
      <c r="F10" s="33"/>
      <c r="G10" s="33"/>
      <c r="H10" s="34">
        <v>80</v>
      </c>
      <c r="I10" s="33"/>
      <c r="J10" s="37">
        <f>38317+13200</f>
        <v>51517</v>
      </c>
      <c r="K10" s="36"/>
      <c r="L10" s="36" t="s">
        <v>17</v>
      </c>
      <c r="M10" s="37">
        <f>+J10/H10</f>
        <v>643.9625</v>
      </c>
      <c r="N10" s="38">
        <v>261</v>
      </c>
      <c r="O10" s="39">
        <f>IFERROR(ROUND((+M10/N10),1),0)</f>
        <v>2.5</v>
      </c>
    </row>
    <row r="11" ht="27.95" customHeight="1" spans="1:15" x14ac:dyDescent="0.25">
      <c r="A11" s="41" t="s">
        <v>28</v>
      </c>
      <c r="B11" s="32" t="s">
        <v>29</v>
      </c>
      <c r="C11" s="32"/>
      <c r="D11" s="32"/>
      <c r="E11" s="32"/>
      <c r="F11" s="33"/>
      <c r="G11" s="33"/>
      <c r="H11" s="34">
        <v>80</v>
      </c>
      <c r="I11" s="33"/>
      <c r="J11" s="37">
        <v>6962</v>
      </c>
      <c r="K11" s="36"/>
      <c r="L11" s="36" t="s">
        <v>17</v>
      </c>
      <c r="M11" s="37">
        <f>+J11/H11</f>
        <v>87.025</v>
      </c>
      <c r="N11" s="38">
        <v>6</v>
      </c>
      <c r="O11" s="39">
        <f>IFERROR(ROUND((+M11/N11),1),0)</f>
        <v>14.5</v>
      </c>
    </row>
    <row r="12" ht="27.95" customHeight="1" spans="1:18" x14ac:dyDescent="0.25">
      <c r="A12" s="41" t="s">
        <v>30</v>
      </c>
      <c r="B12" s="32" t="s">
        <v>31</v>
      </c>
      <c r="C12" s="32"/>
      <c r="D12" s="32"/>
      <c r="E12" s="32"/>
      <c r="F12" s="33"/>
      <c r="G12" s="33"/>
      <c r="H12" s="34">
        <v>80</v>
      </c>
      <c r="I12" s="33"/>
      <c r="J12" s="35">
        <f>23196-1</f>
        <v>23195</v>
      </c>
      <c r="K12" s="33"/>
      <c r="L12" s="33" t="s">
        <v>32</v>
      </c>
      <c r="M12" s="37">
        <f>+J12/H12</f>
        <v>289.9375</v>
      </c>
      <c r="N12" s="38">
        <v>60</v>
      </c>
      <c r="O12" s="39">
        <f>IFERROR(ROUND((+M12/N12),1),0)</f>
        <v>4.8</v>
      </c>
      <c r="R12" s="42"/>
    </row>
    <row r="13" ht="27.95" customHeight="1" spans="1:15" x14ac:dyDescent="0.25">
      <c r="A13" s="41" t="s">
        <v>33</v>
      </c>
      <c r="B13" s="32" t="s">
        <v>34</v>
      </c>
      <c r="C13" s="32"/>
      <c r="D13" s="32"/>
      <c r="E13" s="32"/>
      <c r="F13" s="33"/>
      <c r="G13" s="33"/>
      <c r="H13" s="34">
        <v>80</v>
      </c>
      <c r="I13" s="33"/>
      <c r="J13" s="37">
        <v>1685</v>
      </c>
      <c r="K13" s="33"/>
      <c r="L13" s="33" t="s">
        <v>32</v>
      </c>
      <c r="M13" s="37">
        <f>+J13/H13</f>
        <v>21.0625</v>
      </c>
      <c r="N13" s="38">
        <v>6</v>
      </c>
      <c r="O13" s="39">
        <f>IFERROR(ROUND((+M13/N13),1),0)</f>
        <v>3.5</v>
      </c>
    </row>
    <row r="14" ht="27.95" customHeight="1" spans="1:15" x14ac:dyDescent="0.25">
      <c r="A14" s="43" t="s">
        <v>35</v>
      </c>
      <c r="B14" s="44" t="s">
        <v>36</v>
      </c>
      <c r="C14" s="44"/>
      <c r="D14" s="44"/>
      <c r="E14" s="44"/>
      <c r="F14" s="45"/>
      <c r="G14" s="45"/>
      <c r="H14" s="46">
        <v>78</v>
      </c>
      <c r="I14" s="45"/>
      <c r="J14" s="24">
        <v>22854</v>
      </c>
      <c r="K14" s="47"/>
      <c r="L14" s="47" t="s">
        <v>32</v>
      </c>
      <c r="M14" s="24">
        <f>+J14/H14</f>
        <v>293</v>
      </c>
      <c r="N14" s="48">
        <v>118</v>
      </c>
      <c r="O14" s="49">
        <f>IFERROR(ROUND((+M14/N14),1),0)</f>
        <v>2.5</v>
      </c>
    </row>
    <row r="15" ht="27.95" customHeight="1" spans="1:15" x14ac:dyDescent="0.25">
      <c r="A15" s="41" t="s">
        <v>37</v>
      </c>
      <c r="B15" s="32" t="s">
        <v>38</v>
      </c>
      <c r="C15" s="32"/>
      <c r="D15" s="32"/>
      <c r="E15" s="32"/>
      <c r="F15" s="33"/>
      <c r="G15" s="33"/>
      <c r="H15" s="34">
        <v>78</v>
      </c>
      <c r="I15" s="33"/>
      <c r="J15" s="37">
        <v>927</v>
      </c>
      <c r="K15" s="36"/>
      <c r="L15" s="36" t="s">
        <v>32</v>
      </c>
      <c r="M15" s="37">
        <f>+J15/H15</f>
        <v>11.884615384615385</v>
      </c>
      <c r="N15" s="38">
        <v>14</v>
      </c>
      <c r="O15" s="39">
        <f>IFERROR(ROUND((+M15/N15),1),0)</f>
        <v>0.8</v>
      </c>
    </row>
    <row r="16" ht="27.95" customHeight="1" spans="1:15" x14ac:dyDescent="0.25">
      <c r="A16" s="41" t="s">
        <v>39</v>
      </c>
      <c r="B16" s="32" t="s">
        <v>40</v>
      </c>
      <c r="C16" s="32"/>
      <c r="D16" s="32"/>
      <c r="E16" s="32"/>
      <c r="F16" s="33"/>
      <c r="G16" s="33"/>
      <c r="H16" s="34">
        <v>78</v>
      </c>
      <c r="I16" s="33"/>
      <c r="J16" s="37">
        <v>15986</v>
      </c>
      <c r="K16" s="36"/>
      <c r="L16" s="36" t="s">
        <v>32</v>
      </c>
      <c r="M16" s="37">
        <f>+J16/H16</f>
        <v>204.94871794871796</v>
      </c>
      <c r="N16" s="38">
        <v>49</v>
      </c>
      <c r="O16" s="39">
        <f>IFERROR(ROUND((+M16/N16),1),0)</f>
        <v>4.2</v>
      </c>
    </row>
    <row r="17" ht="27.95" customHeight="1" spans="1:15" x14ac:dyDescent="0.25">
      <c r="A17" s="41" t="s">
        <v>41</v>
      </c>
      <c r="B17" s="32" t="s">
        <v>42</v>
      </c>
      <c r="C17" s="32"/>
      <c r="D17" s="32"/>
      <c r="E17" s="32"/>
      <c r="F17" s="33"/>
      <c r="G17" s="33"/>
      <c r="H17" s="34">
        <v>78</v>
      </c>
      <c r="I17" s="33"/>
      <c r="J17" s="37">
        <f>37+12714</f>
        <v>12751</v>
      </c>
      <c r="K17" s="36"/>
      <c r="L17" s="36" t="s">
        <v>32</v>
      </c>
      <c r="M17" s="37">
        <f>+J17/H17</f>
        <v>163.47435897435898</v>
      </c>
      <c r="N17" s="38">
        <v>45</v>
      </c>
      <c r="O17" s="39">
        <f>IFERROR(ROUND((+M17/N17),1),0)</f>
        <v>3.6</v>
      </c>
    </row>
    <row r="18" ht="27.95" customHeight="1" hidden="1" spans="1:15" x14ac:dyDescent="0.25">
      <c r="A18" s="41" t="s">
        <v>43</v>
      </c>
      <c r="B18" s="32" t="s">
        <v>44</v>
      </c>
      <c r="C18" s="32"/>
      <c r="D18" s="32"/>
      <c r="E18" s="32"/>
      <c r="F18" s="33"/>
      <c r="G18" s="33"/>
      <c r="H18" s="34">
        <v>78</v>
      </c>
      <c r="I18" s="33"/>
      <c r="J18" s="37">
        <v>0</v>
      </c>
      <c r="K18" s="33"/>
      <c r="L18" s="33" t="s">
        <v>32</v>
      </c>
      <c r="M18" s="37">
        <f>+J18/H18</f>
        <v>0</v>
      </c>
      <c r="N18" s="38">
        <v>0</v>
      </c>
      <c r="O18" s="39">
        <f>IFERROR(ROUND((+M18/N18),1),0)</f>
        <v>0</v>
      </c>
    </row>
    <row r="19" ht="27.95" customHeight="1" spans="1:15" x14ac:dyDescent="0.25">
      <c r="A19" s="41" t="s">
        <v>45</v>
      </c>
      <c r="B19" s="32" t="s">
        <v>46</v>
      </c>
      <c r="C19" s="32"/>
      <c r="D19" s="32"/>
      <c r="E19" s="32"/>
      <c r="F19" s="33"/>
      <c r="G19" s="33"/>
      <c r="H19" s="34">
        <v>78</v>
      </c>
      <c r="I19" s="33"/>
      <c r="J19" s="37">
        <v>1143</v>
      </c>
      <c r="K19" s="36"/>
      <c r="L19" s="33" t="s">
        <v>32</v>
      </c>
      <c r="M19" s="37">
        <f>+J19/H19</f>
        <v>14.653846153846153</v>
      </c>
      <c r="N19" s="38">
        <v>7</v>
      </c>
      <c r="O19" s="39">
        <f>IFERROR(ROUND((+M19/N19),1),0)</f>
        <v>2.1</v>
      </c>
    </row>
    <row r="20" ht="27.75" customHeight="1" spans="1:15" x14ac:dyDescent="0.25">
      <c r="A20" s="41" t="s">
        <v>47</v>
      </c>
      <c r="B20" s="32" t="s">
        <v>48</v>
      </c>
      <c r="C20" s="32"/>
      <c r="D20" s="32"/>
      <c r="E20" s="32"/>
      <c r="F20" s="33"/>
      <c r="G20" s="33"/>
      <c r="H20" s="34">
        <v>78</v>
      </c>
      <c r="I20" s="33"/>
      <c r="J20" s="37">
        <v>1</v>
      </c>
      <c r="K20" s="36"/>
      <c r="L20" s="33" t="s">
        <v>32</v>
      </c>
      <c r="M20" s="37">
        <f>+J20/H20</f>
        <v>0.01282051282051282</v>
      </c>
      <c r="N20" s="38">
        <v>8</v>
      </c>
      <c r="O20" s="39">
        <f>IFERROR(ROUND((+M20/N20),1),0)</f>
        <v>0</v>
      </c>
    </row>
    <row r="21" ht="27.95" customHeight="1" spans="1:18" x14ac:dyDescent="0.25">
      <c r="A21" s="41" t="s">
        <v>49</v>
      </c>
      <c r="B21" s="32" t="s">
        <v>50</v>
      </c>
      <c r="C21" s="32"/>
      <c r="D21" s="32"/>
      <c r="E21" s="32"/>
      <c r="F21" s="33"/>
      <c r="G21" s="33"/>
      <c r="H21" s="34">
        <v>78</v>
      </c>
      <c r="I21" s="33"/>
      <c r="J21" s="37">
        <v>3936</v>
      </c>
      <c r="K21" s="36"/>
      <c r="L21" s="33" t="s">
        <v>32</v>
      </c>
      <c r="M21" s="37">
        <f>+J21/H21</f>
        <v>50.46153846153846</v>
      </c>
      <c r="N21" s="38">
        <v>9</v>
      </c>
      <c r="O21" s="39">
        <f>IFERROR(ROUND((+M21/N21),1),0)</f>
        <v>5.6</v>
      </c>
      <c r="R21" s="42"/>
    </row>
    <row r="22" ht="27.95" customHeight="1" spans="1:15" x14ac:dyDescent="0.25">
      <c r="A22" s="43" t="s">
        <v>51</v>
      </c>
      <c r="B22" s="44" t="s">
        <v>52</v>
      </c>
      <c r="C22" s="44"/>
      <c r="D22" s="44"/>
      <c r="E22" s="44"/>
      <c r="F22" s="45"/>
      <c r="G22" s="45"/>
      <c r="H22" s="46">
        <v>160</v>
      </c>
      <c r="I22" s="45"/>
      <c r="J22" s="24">
        <f>10406+7520</f>
        <v>17926</v>
      </c>
      <c r="K22" s="45"/>
      <c r="L22" s="45" t="s">
        <v>32</v>
      </c>
      <c r="M22" s="24">
        <f>+J22/H22</f>
        <v>112.0375</v>
      </c>
      <c r="N22" s="48">
        <v>46</v>
      </c>
      <c r="O22" s="49">
        <f>IFERROR(ROUND((+M22/N22),1),0)</f>
        <v>2.4</v>
      </c>
    </row>
    <row r="23" ht="27.95" customHeight="1" spans="1:18" x14ac:dyDescent="0.25">
      <c r="A23" s="41" t="s">
        <v>53</v>
      </c>
      <c r="B23" s="32" t="s">
        <v>54</v>
      </c>
      <c r="C23" s="32"/>
      <c r="D23" s="32"/>
      <c r="E23" s="32"/>
      <c r="F23" s="33"/>
      <c r="G23" s="33"/>
      <c r="H23" s="34">
        <v>160</v>
      </c>
      <c r="I23" s="33"/>
      <c r="J23" s="37">
        <v>5731</v>
      </c>
      <c r="K23" s="33"/>
      <c r="L23" s="33" t="s">
        <v>32</v>
      </c>
      <c r="M23" s="37">
        <f>+J23/H23</f>
        <v>35.81875</v>
      </c>
      <c r="N23" s="38">
        <v>6</v>
      </c>
      <c r="O23" s="39">
        <f>IFERROR(ROUND((+M23/N23),1),0)</f>
        <v>6</v>
      </c>
      <c r="R23" s="50"/>
    </row>
    <row r="24" ht="27.95" customHeight="1" spans="1:15" x14ac:dyDescent="0.25">
      <c r="A24" s="41" t="s">
        <v>55</v>
      </c>
      <c r="B24" s="32" t="s">
        <v>56</v>
      </c>
      <c r="C24" s="32"/>
      <c r="D24" s="32"/>
      <c r="E24" s="32"/>
      <c r="F24" s="33"/>
      <c r="G24" s="33"/>
      <c r="H24" s="34">
        <v>160</v>
      </c>
      <c r="I24" s="33"/>
      <c r="J24" s="37">
        <v>14044</v>
      </c>
      <c r="K24" s="33"/>
      <c r="L24" s="33" t="s">
        <v>32</v>
      </c>
      <c r="M24" s="37">
        <f>+J24/H24</f>
        <v>87.775</v>
      </c>
      <c r="N24" s="38">
        <v>20</v>
      </c>
      <c r="O24" s="39">
        <f>IFERROR(ROUND((+M24/N24),1),0)</f>
        <v>4.4</v>
      </c>
    </row>
    <row r="25" ht="27.95" customHeight="1" spans="1:18" x14ac:dyDescent="0.25">
      <c r="A25" s="41" t="s">
        <v>57</v>
      </c>
      <c r="B25" s="32" t="s">
        <v>58</v>
      </c>
      <c r="C25" s="32"/>
      <c r="D25" s="32"/>
      <c r="E25" s="32"/>
      <c r="F25" s="33"/>
      <c r="G25" s="33"/>
      <c r="H25" s="34">
        <v>160</v>
      </c>
      <c r="I25" s="33"/>
      <c r="J25" s="37">
        <v>6809</v>
      </c>
      <c r="K25" s="33"/>
      <c r="L25" s="51" t="s">
        <v>32</v>
      </c>
      <c r="M25" s="37">
        <f>+J25/H25</f>
        <v>42.55625</v>
      </c>
      <c r="N25" s="38">
        <v>20</v>
      </c>
      <c r="O25" s="39">
        <f>IFERROR(ROUND((+M25/N25),1),0)</f>
        <v>2.1</v>
      </c>
      <c r="R25" s="50"/>
    </row>
    <row r="26" ht="27.95" customHeight="1" spans="1:20" x14ac:dyDescent="0.25">
      <c r="A26" s="41" t="s">
        <v>59</v>
      </c>
      <c r="B26" s="32" t="s">
        <v>60</v>
      </c>
      <c r="C26" s="32"/>
      <c r="D26" s="32"/>
      <c r="E26" s="32"/>
      <c r="F26" s="33"/>
      <c r="G26" s="33"/>
      <c r="H26" s="34">
        <v>160</v>
      </c>
      <c r="I26" s="33"/>
      <c r="J26" s="37">
        <v>7182</v>
      </c>
      <c r="K26" s="33"/>
      <c r="L26" s="33" t="s">
        <v>32</v>
      </c>
      <c r="M26" s="37">
        <f>+J26/H26</f>
        <v>44.8875</v>
      </c>
      <c r="N26" s="38">
        <v>4</v>
      </c>
      <c r="O26" s="39">
        <f>IFERROR(ROUND((+M26/N26),1),0)</f>
        <v>11.2</v>
      </c>
      <c r="T26" s="29"/>
    </row>
    <row r="27" ht="27.95" customHeight="1" spans="1:15" x14ac:dyDescent="0.25">
      <c r="A27" s="52" t="s">
        <v>61</v>
      </c>
      <c r="B27" s="53" t="s">
        <v>62</v>
      </c>
      <c r="C27" s="54"/>
      <c r="D27" s="54"/>
      <c r="E27" s="55"/>
      <c r="F27" s="56"/>
      <c r="G27" s="56"/>
      <c r="H27" s="57">
        <v>50</v>
      </c>
      <c r="I27" s="56"/>
      <c r="J27" s="58">
        <f>40613+6650</f>
        <v>47263</v>
      </c>
      <c r="K27" s="56"/>
      <c r="L27" s="47" t="s">
        <v>17</v>
      </c>
      <c r="M27" s="24">
        <f>+J27/H27</f>
        <v>945.26</v>
      </c>
      <c r="N27" s="48">
        <v>108</v>
      </c>
      <c r="O27" s="49">
        <f>IFERROR(ROUND((+M27/N27),1),0)</f>
        <v>8.8</v>
      </c>
    </row>
    <row r="28" ht="27.95" customHeight="1" spans="1:15" x14ac:dyDescent="0.25">
      <c r="A28" s="59" t="s">
        <v>63</v>
      </c>
      <c r="B28" s="60" t="s">
        <v>64</v>
      </c>
      <c r="C28" s="61"/>
      <c r="D28" s="61"/>
      <c r="E28" s="62"/>
      <c r="F28" s="63"/>
      <c r="G28" s="63"/>
      <c r="H28" s="64">
        <v>50</v>
      </c>
      <c r="I28" s="63"/>
      <c r="J28" s="37">
        <v>32624</v>
      </c>
      <c r="K28" s="63"/>
      <c r="L28" s="36" t="s">
        <v>17</v>
      </c>
      <c r="M28" s="37">
        <f>+J28/H28</f>
        <v>652.48</v>
      </c>
      <c r="N28" s="38">
        <v>130</v>
      </c>
      <c r="O28" s="39">
        <f>IFERROR(ROUND((+M28/N28),1),0)</f>
        <v>5</v>
      </c>
    </row>
    <row r="29" ht="27.95" customHeight="1" spans="1:15" x14ac:dyDescent="0.25">
      <c r="A29" s="59" t="s">
        <v>65</v>
      </c>
      <c r="B29" s="60" t="s">
        <v>66</v>
      </c>
      <c r="C29" s="61"/>
      <c r="D29" s="61"/>
      <c r="E29" s="62"/>
      <c r="F29" s="63"/>
      <c r="G29" s="63"/>
      <c r="H29" s="64">
        <v>50</v>
      </c>
      <c r="I29" s="63"/>
      <c r="J29" s="37">
        <v>1733</v>
      </c>
      <c r="K29" s="63"/>
      <c r="L29" s="36" t="s">
        <v>17</v>
      </c>
      <c r="M29" s="37">
        <f>+J29/H29</f>
        <v>34.66</v>
      </c>
      <c r="N29" s="38">
        <v>46</v>
      </c>
      <c r="O29" s="39">
        <f>IFERROR(ROUND((+M29/N29),1),0)</f>
        <v>0.8</v>
      </c>
    </row>
    <row r="30" ht="27.95" customHeight="1" spans="1:15" x14ac:dyDescent="0.25">
      <c r="A30" s="59" t="s">
        <v>67</v>
      </c>
      <c r="B30" s="60" t="s">
        <v>68</v>
      </c>
      <c r="C30" s="61"/>
      <c r="D30" s="61"/>
      <c r="E30" s="62"/>
      <c r="F30" s="63"/>
      <c r="G30" s="63"/>
      <c r="H30" s="64">
        <v>50</v>
      </c>
      <c r="I30" s="63"/>
      <c r="J30" s="37">
        <v>2368</v>
      </c>
      <c r="K30" s="63"/>
      <c r="L30" s="36" t="s">
        <v>17</v>
      </c>
      <c r="M30" s="37">
        <f>+J30/H30</f>
        <v>47.36</v>
      </c>
      <c r="N30" s="38">
        <v>80</v>
      </c>
      <c r="O30" s="39">
        <f>IFERROR(ROUND((+M30/N30),1),0)</f>
        <v>0.6</v>
      </c>
    </row>
    <row r="31" ht="27.95" customHeight="1" spans="1:15" x14ac:dyDescent="0.25">
      <c r="A31" s="52" t="s">
        <v>69</v>
      </c>
      <c r="B31" s="53" t="s">
        <v>70</v>
      </c>
      <c r="C31" s="54"/>
      <c r="D31" s="54"/>
      <c r="E31" s="55"/>
      <c r="F31" s="56"/>
      <c r="G31" s="56"/>
      <c r="H31" s="57">
        <v>160</v>
      </c>
      <c r="I31" s="56"/>
      <c r="J31" s="24">
        <v>1177</v>
      </c>
      <c r="K31" s="56"/>
      <c r="L31" s="47" t="s">
        <v>32</v>
      </c>
      <c r="M31" s="24">
        <f>+J31/H31</f>
        <v>7.35625</v>
      </c>
      <c r="N31" s="48">
        <v>15</v>
      </c>
      <c r="O31" s="49">
        <f>IFERROR(ROUND((+M31/N31),1),0)</f>
        <v>0.5</v>
      </c>
    </row>
    <row r="32" ht="27.95" customHeight="1" spans="1:15" x14ac:dyDescent="0.25">
      <c r="A32" s="59" t="s">
        <v>71</v>
      </c>
      <c r="B32" s="60" t="s">
        <v>72</v>
      </c>
      <c r="C32" s="61"/>
      <c r="D32" s="61"/>
      <c r="E32" s="62"/>
      <c r="F32" s="63"/>
      <c r="G32" s="63"/>
      <c r="H32" s="64">
        <v>160</v>
      </c>
      <c r="I32" s="63"/>
      <c r="J32" s="37">
        <v>3202</v>
      </c>
      <c r="K32" s="63"/>
      <c r="L32" s="36" t="s">
        <v>32</v>
      </c>
      <c r="M32" s="37">
        <f>+J32/H32</f>
        <v>20.0125</v>
      </c>
      <c r="N32" s="38">
        <v>24</v>
      </c>
      <c r="O32" s="39">
        <f>IFERROR(ROUND((+M32/N32),1),0)</f>
        <v>0.8</v>
      </c>
    </row>
    <row r="33" ht="27.95" customHeight="1" spans="1:15" x14ac:dyDescent="0.25">
      <c r="A33" s="59" t="s">
        <v>73</v>
      </c>
      <c r="B33" s="60" t="s">
        <v>74</v>
      </c>
      <c r="C33" s="61"/>
      <c r="D33" s="61"/>
      <c r="E33" s="62"/>
      <c r="F33" s="63"/>
      <c r="G33" s="63"/>
      <c r="H33" s="64">
        <v>160</v>
      </c>
      <c r="I33" s="63"/>
      <c r="J33" s="37">
        <v>18536</v>
      </c>
      <c r="K33" s="63"/>
      <c r="L33" s="36" t="s">
        <v>32</v>
      </c>
      <c r="M33" s="37">
        <f>+J33/H33</f>
        <v>115.85</v>
      </c>
      <c r="N33" s="38">
        <v>21</v>
      </c>
      <c r="O33" s="39">
        <f>IFERROR(ROUND((+M33/N33),1),0)</f>
        <v>5.5</v>
      </c>
    </row>
    <row r="34" ht="27.95" customHeight="1" spans="1:15" x14ac:dyDescent="0.25">
      <c r="A34" s="59" t="s">
        <v>75</v>
      </c>
      <c r="B34" s="60" t="s">
        <v>76</v>
      </c>
      <c r="C34" s="61"/>
      <c r="D34" s="61"/>
      <c r="E34" s="62"/>
      <c r="F34" s="63"/>
      <c r="G34" s="63"/>
      <c r="H34" s="64">
        <v>160</v>
      </c>
      <c r="I34" s="63"/>
      <c r="J34" s="37">
        <v>8602</v>
      </c>
      <c r="K34" s="63"/>
      <c r="L34" s="36" t="s">
        <v>32</v>
      </c>
      <c r="M34" s="37">
        <f>+J34/H34</f>
        <v>53.7625</v>
      </c>
      <c r="N34" s="38">
        <v>15</v>
      </c>
      <c r="O34" s="39">
        <f>IFERROR(ROUND((+M34/N34),1),0)</f>
        <v>3.6</v>
      </c>
    </row>
    <row r="35" ht="27.95" customHeight="1" spans="1:15" x14ac:dyDescent="0.25">
      <c r="A35" s="52" t="s">
        <v>77</v>
      </c>
      <c r="B35" s="53" t="s">
        <v>78</v>
      </c>
      <c r="C35" s="54"/>
      <c r="D35" s="54"/>
      <c r="E35" s="55"/>
      <c r="F35" s="56"/>
      <c r="G35" s="56"/>
      <c r="H35" s="57">
        <v>70</v>
      </c>
      <c r="I35" s="56"/>
      <c r="J35" s="24">
        <v>0</v>
      </c>
      <c r="K35" s="56"/>
      <c r="L35" s="47" t="s">
        <v>17</v>
      </c>
      <c r="M35" s="24">
        <f>+J35/H35</f>
        <v>0</v>
      </c>
      <c r="N35" s="48">
        <v>0</v>
      </c>
      <c r="O35" s="49">
        <f>IFERROR(ROUND((+M35/N35),1),0)</f>
        <v>0</v>
      </c>
    </row>
    <row r="36" ht="27.95" customHeight="1" spans="1:15" x14ac:dyDescent="0.25">
      <c r="A36" s="59" t="s">
        <v>79</v>
      </c>
      <c r="B36" s="60" t="s">
        <v>80</v>
      </c>
      <c r="C36" s="61"/>
      <c r="D36" s="61"/>
      <c r="E36" s="62"/>
      <c r="F36" s="63"/>
      <c r="G36" s="63"/>
      <c r="H36" s="64">
        <v>50</v>
      </c>
      <c r="I36" s="63"/>
      <c r="J36" s="37">
        <v>0</v>
      </c>
      <c r="K36" s="63"/>
      <c r="L36" s="36" t="s">
        <v>17</v>
      </c>
      <c r="M36" s="37">
        <f>+J36/H36</f>
        <v>0</v>
      </c>
      <c r="N36" s="38">
        <v>1</v>
      </c>
      <c r="O36" s="39">
        <f>IFERROR(ROUND((+M36/N36),1),0)</f>
        <v>0</v>
      </c>
    </row>
    <row r="37" ht="27.95" customHeight="1" spans="1:15" x14ac:dyDescent="0.25">
      <c r="A37" s="59" t="s">
        <v>81</v>
      </c>
      <c r="B37" s="60" t="s">
        <v>82</v>
      </c>
      <c r="C37" s="61"/>
      <c r="D37" s="61"/>
      <c r="E37" s="62"/>
      <c r="F37" s="63"/>
      <c r="G37" s="63"/>
      <c r="H37" s="64">
        <v>160</v>
      </c>
      <c r="I37" s="63"/>
      <c r="J37" s="37">
        <v>440</v>
      </c>
      <c r="K37" s="63"/>
      <c r="L37" s="36" t="s">
        <v>32</v>
      </c>
      <c r="M37" s="37">
        <f>+J37/H37</f>
        <v>2.75</v>
      </c>
      <c r="N37" s="38">
        <v>1</v>
      </c>
      <c r="O37" s="39">
        <f>IFERROR(ROUND((+M37/N37),1),0)</f>
        <v>2.8</v>
      </c>
    </row>
    <row r="38" ht="27.95" customHeight="1" spans="1:15" x14ac:dyDescent="0.25">
      <c r="A38" s="59" t="s">
        <v>83</v>
      </c>
      <c r="B38" s="60" t="s">
        <v>84</v>
      </c>
      <c r="C38" s="61"/>
      <c r="D38" s="61"/>
      <c r="E38" s="62"/>
      <c r="F38" s="63"/>
      <c r="G38" s="63"/>
      <c r="H38" s="64">
        <v>160</v>
      </c>
      <c r="I38" s="63"/>
      <c r="J38" s="37">
        <v>0</v>
      </c>
      <c r="K38" s="63"/>
      <c r="L38" s="36" t="s">
        <v>32</v>
      </c>
      <c r="M38" s="37">
        <f>+J38/H38</f>
        <v>0</v>
      </c>
      <c r="N38" s="38">
        <v>0</v>
      </c>
      <c r="O38" s="39">
        <f>IFERROR(ROUND((+M38/N38),1),0)</f>
        <v>0</v>
      </c>
    </row>
    <row r="39" ht="27.95" customHeight="1" spans="1:15" x14ac:dyDescent="0.25">
      <c r="A39" s="65" t="s">
        <v>85</v>
      </c>
      <c r="B39" s="66" t="s">
        <v>86</v>
      </c>
      <c r="C39" s="67"/>
      <c r="D39" s="67"/>
      <c r="E39" s="68"/>
      <c r="F39" s="69"/>
      <c r="G39" s="69"/>
      <c r="H39" s="68">
        <v>84</v>
      </c>
      <c r="I39" s="69"/>
      <c r="J39" s="70">
        <f>52-1</f>
        <v>51</v>
      </c>
      <c r="K39" s="69"/>
      <c r="L39" s="71" t="s">
        <v>17</v>
      </c>
      <c r="M39" s="37">
        <f>+J39/H39</f>
        <v>0.6071428571428571</v>
      </c>
      <c r="N39" s="38">
        <v>0</v>
      </c>
      <c r="O39" s="39">
        <f>IFERROR(ROUND((+M39/N39),1),0)</f>
        <v>0</v>
      </c>
    </row>
    <row r="40" ht="27.95" customHeight="1" spans="1:15" x14ac:dyDescent="0.25">
      <c r="A40" s="65" t="s">
        <v>87</v>
      </c>
      <c r="B40" s="66" t="s">
        <v>88</v>
      </c>
      <c r="C40" s="67"/>
      <c r="D40" s="67"/>
      <c r="E40" s="68"/>
      <c r="F40" s="69"/>
      <c r="G40" s="69"/>
      <c r="H40" s="68">
        <v>50</v>
      </c>
      <c r="I40" s="69"/>
      <c r="J40" s="72">
        <f>12+1</f>
        <v>13</v>
      </c>
      <c r="K40" s="69"/>
      <c r="L40" s="71" t="s">
        <v>17</v>
      </c>
      <c r="M40" s="37">
        <f>+J40/H40</f>
        <v>0.26</v>
      </c>
      <c r="N40" s="38">
        <v>14</v>
      </c>
      <c r="O40" s="39">
        <f>IFERROR(ROUND((+M40/N40),1),0)</f>
        <v>0</v>
      </c>
    </row>
    <row r="41" ht="27.95" customHeight="1" spans="1:15" x14ac:dyDescent="0.25">
      <c r="A41" s="65" t="s">
        <v>89</v>
      </c>
      <c r="B41" s="66" t="s">
        <v>90</v>
      </c>
      <c r="C41" s="67"/>
      <c r="D41" s="67"/>
      <c r="E41" s="68"/>
      <c r="F41" s="69"/>
      <c r="G41" s="69"/>
      <c r="H41" s="68">
        <v>136</v>
      </c>
      <c r="I41" s="69"/>
      <c r="J41" s="73">
        <v>5733</v>
      </c>
      <c r="K41" s="69"/>
      <c r="L41" s="71" t="s">
        <v>17</v>
      </c>
      <c r="M41" s="37">
        <f>+J41/H41</f>
        <v>42.154411764705884</v>
      </c>
      <c r="N41" s="38">
        <v>27</v>
      </c>
      <c r="O41" s="39">
        <f>IFERROR(ROUND((+M41/N41),1),0)</f>
        <v>1.6</v>
      </c>
    </row>
    <row r="42" ht="27.95" customHeight="1" spans="1:15" x14ac:dyDescent="0.25">
      <c r="A42" s="74" t="s">
        <v>91</v>
      </c>
      <c r="B42" s="75" t="s">
        <v>92</v>
      </c>
      <c r="C42" s="76"/>
      <c r="D42" s="76"/>
      <c r="E42" s="77"/>
      <c r="F42" s="78"/>
      <c r="G42" s="78"/>
      <c r="H42" s="77">
        <v>160</v>
      </c>
      <c r="I42" s="78"/>
      <c r="J42" s="37">
        <v>1</v>
      </c>
      <c r="K42" s="78"/>
      <c r="L42" s="79" t="s">
        <v>17</v>
      </c>
      <c r="M42" s="80">
        <f>+J42/H42</f>
        <v>0.00625</v>
      </c>
      <c r="N42" s="38">
        <v>2</v>
      </c>
      <c r="O42" s="39">
        <f>IFERROR(ROUND((+M42/N42),1),0)</f>
        <v>0</v>
      </c>
    </row>
    <row r="43" ht="27.95" customHeight="1" spans="1:15" x14ac:dyDescent="0.25">
      <c r="A43" s="74" t="s">
        <v>93</v>
      </c>
      <c r="B43" s="75" t="s">
        <v>94</v>
      </c>
      <c r="C43" s="76"/>
      <c r="D43" s="76"/>
      <c r="E43" s="77"/>
      <c r="F43" s="78"/>
      <c r="G43" s="78"/>
      <c r="H43" s="77">
        <v>160</v>
      </c>
      <c r="I43" s="78"/>
      <c r="J43" s="80">
        <v>2320</v>
      </c>
      <c r="K43" s="78"/>
      <c r="L43" s="79" t="s">
        <v>17</v>
      </c>
      <c r="M43" s="80">
        <f>+J43/H43</f>
        <v>14.5</v>
      </c>
      <c r="N43" s="38">
        <v>0</v>
      </c>
      <c r="O43" s="39">
        <f>IFERROR(ROUND((+M43/N43),1),0)</f>
        <v>0</v>
      </c>
    </row>
    <row r="44" ht="27.95" customHeight="1" spans="1:15" x14ac:dyDescent="0.25">
      <c r="A44" s="81" t="s">
        <v>95</v>
      </c>
      <c r="B44" s="82" t="s">
        <v>96</v>
      </c>
      <c r="C44" s="83"/>
      <c r="D44" s="83"/>
      <c r="E44" s="84"/>
      <c r="F44" s="85"/>
      <c r="G44" s="85"/>
      <c r="H44" s="84">
        <v>160</v>
      </c>
      <c r="I44" s="85"/>
      <c r="J44" s="86">
        <v>0</v>
      </c>
      <c r="K44" s="85"/>
      <c r="L44" s="87" t="s">
        <v>17</v>
      </c>
      <c r="M44" s="88">
        <f>+J44/H44</f>
        <v>0</v>
      </c>
      <c r="N44" s="89">
        <v>0</v>
      </c>
      <c r="O44" s="90">
        <f>IFERROR(ROUND((+M44/N44),1),0)</f>
        <v>0</v>
      </c>
    </row>
    <row r="45" ht="3.75" customHeight="1" spans="1:13" x14ac:dyDescent="0.25">
      <c r="A45" s="91"/>
      <c r="B45" s="91"/>
      <c r="C45" s="91"/>
      <c r="D45" s="91"/>
      <c r="J45" s="29"/>
      <c r="K45" s="29"/>
      <c r="L45" s="29"/>
      <c r="M45" s="92"/>
    </row>
    <row r="46" ht="26.25" customHeight="1" spans="1:13" x14ac:dyDescent="0.25">
      <c r="A46" s="93"/>
      <c r="B46" s="93"/>
      <c r="C46" s="93"/>
      <c r="D46" s="93"/>
      <c r="E46" s="93"/>
      <c r="F46" s="93"/>
      <c r="G46" s="93"/>
      <c r="H46" s="93"/>
      <c r="I46" s="93"/>
      <c r="J46" s="94">
        <f>SUM(J5:J45)</f>
        <v>411221</v>
      </c>
      <c r="K46" s="93"/>
      <c r="L46" s="93"/>
      <c r="M46" s="95">
        <f>SUM(M5:M45)</f>
        <v>5221.879952057747</v>
      </c>
    </row>
    <row r="47" ht="15" customHeight="1" spans="1:13" x14ac:dyDescent="0.25">
      <c r="A47" s="91"/>
      <c r="B47" s="91"/>
      <c r="C47" s="91"/>
      <c r="D47" s="91"/>
      <c r="J47" s="29"/>
      <c r="K47" s="29"/>
      <c r="L47" s="29"/>
      <c r="M47" s="92"/>
    </row>
    <row r="48" ht="21" customHeight="1" spans="1:13" x14ac:dyDescent="0.25">
      <c r="A48" s="91"/>
      <c r="B48" s="91"/>
      <c r="C48" s="91"/>
      <c r="D48" s="91"/>
      <c r="J48" s="29"/>
      <c r="K48" s="29"/>
      <c r="L48" s="29"/>
      <c r="M48" s="92"/>
    </row>
    <row r="49" ht="21" customHeight="1" spans="10:13" x14ac:dyDescent="0.25">
      <c r="J49" s="29"/>
      <c r="K49" s="29"/>
      <c r="L49" s="29"/>
      <c r="M49" s="92"/>
    </row>
    <row r="50" ht="21" customHeight="1" spans="10:13" x14ac:dyDescent="0.25">
      <c r="J50" s="29"/>
      <c r="K50" s="29"/>
      <c r="L50" s="29"/>
      <c r="M50" s="92"/>
    </row>
    <row r="51" ht="21" customHeight="1" spans="10:13" x14ac:dyDescent="0.25">
      <c r="J51" s="29"/>
      <c r="K51" s="29"/>
      <c r="L51" s="29"/>
      <c r="M51" s="92"/>
    </row>
    <row r="52" ht="21" customHeight="1" spans="10:13" x14ac:dyDescent="0.25">
      <c r="J52" s="29"/>
      <c r="K52" s="29"/>
      <c r="L52" s="29"/>
      <c r="M52" s="92"/>
    </row>
    <row r="53" ht="21" customHeight="1" spans="10:13" x14ac:dyDescent="0.25">
      <c r="J53" s="29"/>
      <c r="K53" s="29"/>
      <c r="L53" s="29"/>
      <c r="M53" s="92"/>
    </row>
    <row r="54" ht="21" customHeight="1" spans="10:13" x14ac:dyDescent="0.25">
      <c r="J54" s="29"/>
      <c r="K54" s="29"/>
      <c r="L54" s="29"/>
      <c r="M54" s="92"/>
    </row>
    <row r="55" ht="21" customHeight="1" spans="10:13" x14ac:dyDescent="0.25">
      <c r="J55" s="29"/>
      <c r="K55" s="29"/>
      <c r="L55" s="29"/>
      <c r="M55" s="92"/>
    </row>
    <row r="56" ht="21" customHeight="1" spans="10:13" x14ac:dyDescent="0.25">
      <c r="J56" s="29"/>
      <c r="K56" s="29"/>
      <c r="L56" s="29"/>
      <c r="M56" s="92"/>
    </row>
    <row r="57" ht="21" customHeight="1" spans="10:13" x14ac:dyDescent="0.25">
      <c r="J57" s="29"/>
      <c r="K57" s="29"/>
      <c r="L57" s="29"/>
      <c r="M57" s="92"/>
    </row>
    <row r="58" ht="21" customHeight="1" spans="10:13" x14ac:dyDescent="0.25">
      <c r="J58" s="96"/>
      <c r="K58" s="29"/>
      <c r="L58" s="29"/>
      <c r="M58" s="92"/>
    </row>
    <row r="59" ht="21" customHeight="1" spans="10:13" x14ac:dyDescent="0.25">
      <c r="J59" s="29"/>
      <c r="K59" s="29"/>
      <c r="L59" s="29"/>
      <c r="M59" s="92"/>
    </row>
    <row r="60" ht="21" customHeight="1" spans="10:13" x14ac:dyDescent="0.25">
      <c r="J60" s="96"/>
      <c r="K60" s="29"/>
      <c r="L60" s="29"/>
      <c r="M60" s="92"/>
    </row>
    <row r="61" ht="21" customHeight="1" spans="10:13" x14ac:dyDescent="0.25">
      <c r="J61" s="29"/>
      <c r="K61" s="29"/>
      <c r="L61" s="29"/>
      <c r="M61" s="92"/>
    </row>
    <row r="62" ht="21" customHeight="1" spans="10:13" x14ac:dyDescent="0.25">
      <c r="J62" s="96"/>
      <c r="K62" s="29"/>
      <c r="L62" s="29"/>
      <c r="M62" s="92"/>
    </row>
    <row r="63" ht="21" customHeight="1" spans="10:13" x14ac:dyDescent="0.25">
      <c r="J63" s="29"/>
      <c r="K63" s="29"/>
      <c r="L63" s="29"/>
      <c r="M63" s="92"/>
    </row>
    <row r="64" ht="21" customHeight="1" spans="10:13" x14ac:dyDescent="0.25">
      <c r="J64" s="96"/>
      <c r="K64" s="29"/>
      <c r="L64" s="29"/>
      <c r="M64" s="92"/>
    </row>
    <row r="65" ht="21" customHeight="1" spans="10:13" x14ac:dyDescent="0.25">
      <c r="J65" s="96"/>
      <c r="K65" s="29"/>
      <c r="L65" s="29"/>
      <c r="M65" s="92"/>
    </row>
    <row r="66" ht="21" customHeight="1" spans="10:13" x14ac:dyDescent="0.25">
      <c r="J66" s="96"/>
      <c r="M66" s="92"/>
    </row>
    <row r="67" ht="21" customHeight="1" spans="10:13" x14ac:dyDescent="0.25">
      <c r="J67" s="96"/>
      <c r="M67" s="92"/>
    </row>
    <row r="68" ht="21" customHeight="1" spans="10:13" x14ac:dyDescent="0.25">
      <c r="J68" s="96"/>
      <c r="M68" s="92"/>
    </row>
    <row r="69" ht="21" customHeight="1" spans="10:13" x14ac:dyDescent="0.25">
      <c r="J69" s="96"/>
      <c r="M69" s="92"/>
    </row>
    <row r="70" ht="21" customHeight="1" spans="10:13" x14ac:dyDescent="0.25">
      <c r="J70" s="96"/>
      <c r="M70" s="92"/>
    </row>
    <row r="71" ht="21" customHeight="1" spans="10:13" x14ac:dyDescent="0.25">
      <c r="J71" s="96"/>
      <c r="M71" s="92"/>
    </row>
    <row r="73" spans="10:10" x14ac:dyDescent="0.25">
      <c r="J73" s="29"/>
    </row>
    <row r="75" spans="7:7" x14ac:dyDescent="0.25">
      <c r="G75" s="97"/>
    </row>
    <row r="76" spans="7:12" x14ac:dyDescent="0.25">
      <c r="G76" s="97"/>
      <c r="L76" s="98"/>
    </row>
    <row r="77" spans="7:7" x14ac:dyDescent="0.25">
      <c r="G77" s="29"/>
    </row>
  </sheetData>
  <conditionalFormatting sqref="I1">
    <cfRule type="cellIs" dxfId="0" priority="70" operator="equal">
      <formula>0</formula>
    </cfRule>
  </conditionalFormatting>
  <conditionalFormatting sqref="I2">
    <cfRule type="cellIs" dxfId="1" priority="69" operator="equal">
      <formula>0</formula>
    </cfRule>
  </conditionalFormatting>
  <conditionalFormatting sqref="M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M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M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M8:M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M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M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M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M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M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M15:M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M18">
    <cfRule type="cellIs" dxfId="22" priority="53" operator="lessThan">
      <formula>60</formula>
    </cfRule>
    <cfRule type="cellIs" dxfId="23" priority="54" operator="greaterThan">
      <formula>100</formula>
    </cfRule>
  </conditionalFormatting>
  <conditionalFormatting sqref="M19:M20">
    <cfRule type="cellIs" dxfId="24" priority="49" operator="lessThan">
      <formula>200</formula>
    </cfRule>
    <cfRule type="cellIs" dxfId="25" priority="50" operator="greaterThan">
      <formula>400</formula>
    </cfRule>
  </conditionalFormatting>
  <conditionalFormatting sqref="M21">
    <cfRule type="cellIs" dxfId="26" priority="51" operator="lessThan">
      <formula>0</formula>
    </cfRule>
    <cfRule type="cellIs" dxfId="27" priority="52" operator="equal">
      <formula>0</formula>
    </cfRule>
  </conditionalFormatting>
  <conditionalFormatting sqref="M22">
    <cfRule type="cellIs" dxfId="28" priority="47" operator="lessThan">
      <formula>100</formula>
    </cfRule>
    <cfRule type="cellIs" dxfId="29" priority="48" operator="greaterThan">
      <formula>250</formula>
    </cfRule>
  </conditionalFormatting>
  <conditionalFormatting sqref="M23:M24">
    <cfRule type="cellIs" dxfId="30" priority="43" operator="lessThan">
      <formula>50</formula>
    </cfRule>
    <cfRule type="cellIs" dxfId="31" priority="44" operator="greaterThan">
      <formula>150</formula>
    </cfRule>
  </conditionalFormatting>
  <conditionalFormatting sqref="M25">
    <cfRule type="cellIs" dxfId="32" priority="41" operator="lessThan">
      <formula>50</formula>
    </cfRule>
    <cfRule type="cellIs" dxfId="33" priority="42" operator="greaterThan">
      <formula>150</formula>
    </cfRule>
  </conditionalFormatting>
  <conditionalFormatting sqref="M26">
    <cfRule type="cellIs" dxfId="34" priority="37" operator="lessThan">
      <formula>5</formula>
    </cfRule>
    <cfRule type="cellIs" dxfId="35" priority="38" operator="greaterThan">
      <formula>50</formula>
    </cfRule>
  </conditionalFormatting>
  <conditionalFormatting sqref="M27:M28">
    <cfRule type="cellIs" dxfId="36" priority="33" operator="lessThan">
      <formula>500</formula>
    </cfRule>
    <cfRule type="cellIs" dxfId="37" priority="34" operator="greaterThan">
      <formula>1500</formula>
    </cfRule>
  </conditionalFormatting>
  <conditionalFormatting sqref="M29:M30">
    <cfRule type="cellIs" dxfId="38" priority="7" operator="lessThan">
      <formula>500</formula>
    </cfRule>
  </conditionalFormatting>
  <conditionalFormatting sqref="M29">
    <cfRule type="cellIs" dxfId="39" priority="32" operator="greaterThan">
      <formula>1500</formula>
    </cfRule>
  </conditionalFormatting>
  <conditionalFormatting sqref="M30">
    <cfRule type="cellIs" dxfId="40" priority="28" operator="greaterThan">
      <formula>800</formula>
    </cfRule>
  </conditionalFormatting>
  <conditionalFormatting sqref="M31:M34">
    <cfRule type="cellIs" dxfId="41" priority="12" operator="lessThan">
      <formula>500</formula>
    </cfRule>
    <cfRule type="cellIs" dxfId="42" priority="13" operator="greaterThan">
      <formula>800</formula>
    </cfRule>
  </conditionalFormatting>
  <conditionalFormatting sqref="M35:M36 M39:M44">
    <cfRule type="cellIs" dxfId="43" priority="25" operator="lessThan">
      <formula>200</formula>
    </cfRule>
    <cfRule type="cellIs" dxfId="44" priority="26" operator="greaterThan">
      <formula>600</formula>
    </cfRule>
  </conditionalFormatting>
  <conditionalFormatting sqref="M37:M38">
    <cfRule type="cellIs" dxfId="45" priority="5" operator="lessThan">
      <formula>500</formula>
    </cfRule>
    <cfRule type="cellIs" dxfId="46" priority="6" operator="greaterThan">
      <formula>800</formula>
    </cfRule>
  </conditionalFormatting>
  <conditionalFormatting sqref="O5:O44">
    <cfRule type="cellIs" dxfId="47" priority="1" operator="greaterThan">
      <formula>4</formula>
    </cfRule>
    <cfRule type="cellIs" dxfId="48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2026-09-12T00:19:24Z</cp:lastPrinted>
  <dcterms:created xsi:type="dcterms:W3CDTF">2014-09-02T11:57:04Z</dcterms:created>
  <dcterms:modified xsi:type="dcterms:W3CDTF">2026-09-12T18:13:52Z</dcterms:modified>
</cp:coreProperties>
</file>