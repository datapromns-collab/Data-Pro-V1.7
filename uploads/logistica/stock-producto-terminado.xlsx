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<sst xmlns="http://schemas.openxmlformats.org/spreadsheetml/2006/main" count="660" uniqueCount="277">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</sst>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46304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38710</v>
      </c>
      <c r="F5" s="24"/>
      <c r="G5" s="24" t="s">
        <v>16</v>
      </c>
      <c r="H5" s="25">
        <f>+E5/C5</f>
        <v>483.875</v>
      </c>
      <c r="I5" s="26">
        <v>804</v>
      </c>
      <c r="J5" s="27">
        <f t="shared" ref="J5:J43" si="0">IFERROR(ROUND((+H5/I5),1),0)</f>
        <v>0.6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161</v>
      </c>
      <c r="F6" s="34"/>
      <c r="G6" s="34" t="s">
        <v>16</v>
      </c>
      <c r="H6" s="33">
        <f t="shared" ref="H6:H41" si="1">+E6/C6</f>
        <v>2.0125</v>
      </c>
      <c r="I6" s="35">
        <v>111</v>
      </c>
      <c r="J6" s="36">
        <f t="shared" si="0"/>
        <v>0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22205</v>
      </c>
      <c r="F7" s="34"/>
      <c r="G7" s="34" t="s">
        <v>16</v>
      </c>
      <c r="H7" s="33">
        <f t="shared" si="1"/>
        <v>277.5625</v>
      </c>
      <c r="I7" s="35">
        <v>240</v>
      </c>
      <c r="J7" s="36">
        <f t="shared" si="0"/>
        <v>1.2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2606</v>
      </c>
      <c r="F8" s="34"/>
      <c r="G8" s="34" t="s">
        <v>16</v>
      </c>
      <c r="H8" s="33">
        <f t="shared" si="1"/>
        <v>32.575</v>
      </c>
      <c r="I8" s="35">
        <v>83</v>
      </c>
      <c r="J8" s="36">
        <f t="shared" si="0"/>
        <v>0.4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14219</v>
      </c>
      <c r="F10" s="34"/>
      <c r="G10" s="34" t="s">
        <v>16</v>
      </c>
      <c r="H10" s="33">
        <f t="shared" si="1"/>
        <v>177.7375</v>
      </c>
      <c r="I10" s="35">
        <v>261</v>
      </c>
      <c r="J10" s="36">
        <f t="shared" si="0"/>
        <v>0.7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4000</v>
      </c>
      <c r="F11" s="34"/>
      <c r="G11" s="34" t="s">
        <v>16</v>
      </c>
      <c r="H11" s="33">
        <f t="shared" si="1"/>
        <v>50</v>
      </c>
      <c r="I11" s="35">
        <v>6</v>
      </c>
      <c r="J11" s="36">
        <f t="shared" si="0"/>
        <v>8.3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39359</v>
      </c>
      <c r="F12" s="32"/>
      <c r="G12" s="32" t="s">
        <v>31</v>
      </c>
      <c r="H12" s="33">
        <f t="shared" si="1"/>
        <v>491.9875</v>
      </c>
      <c r="I12" s="35">
        <v>60</v>
      </c>
      <c r="J12" s="36">
        <f t="shared" si="0"/>
        <v>8.2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223</v>
      </c>
      <c r="F13" s="32"/>
      <c r="G13" s="32" t="s">
        <v>31</v>
      </c>
      <c r="H13" s="33">
        <f t="shared" si="1"/>
        <v>2.7875</v>
      </c>
      <c r="I13" s="35">
        <v>6</v>
      </c>
      <c r="J13" s="36">
        <f t="shared" si="0"/>
        <v>0.5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17321</v>
      </c>
      <c r="F14" s="45"/>
      <c r="G14" s="45" t="s">
        <v>31</v>
      </c>
      <c r="H14" s="23">
        <f t="shared" si="1"/>
        <v>222.06410256410257</v>
      </c>
      <c r="I14" s="46">
        <v>118</v>
      </c>
      <c r="J14" s="47">
        <f t="shared" si="0"/>
        <v>1.9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4887</v>
      </c>
      <c r="F15" s="34"/>
      <c r="G15" s="34" t="s">
        <v>31</v>
      </c>
      <c r="H15" s="33">
        <f t="shared" si="1"/>
        <v>62.65384615384615</v>
      </c>
      <c r="I15" s="35">
        <v>14</v>
      </c>
      <c r="J15" s="36">
        <f t="shared" si="0"/>
        <v>4.5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29342</v>
      </c>
      <c r="F16" s="34"/>
      <c r="G16" s="34" t="s">
        <v>31</v>
      </c>
      <c r="H16" s="33">
        <f t="shared" si="1"/>
        <v>376.1794871794872</v>
      </c>
      <c r="I16" s="35">
        <v>49</v>
      </c>
      <c r="J16" s="36">
        <f t="shared" si="0"/>
        <v>7.7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79</v>
      </c>
      <c r="F17" s="34"/>
      <c r="G17" s="34" t="s">
        <v>31</v>
      </c>
      <c r="H17" s="33">
        <f t="shared" si="1"/>
        <v>1.0128205128205128</v>
      </c>
      <c r="I17" s="35">
        <v>45</v>
      </c>
      <c r="J17" s="36">
        <f t="shared" si="0"/>
        <v>0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140</v>
      </c>
      <c r="F18" s="34"/>
      <c r="G18" s="32" t="s">
        <v>31</v>
      </c>
      <c r="H18" s="33">
        <f t="shared" si="1"/>
        <v>1.794871794871795</v>
      </c>
      <c r="I18" s="35">
        <v>7</v>
      </c>
      <c r="J18" s="36">
        <f t="shared" si="0"/>
        <v>0.3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807</v>
      </c>
      <c r="F20" s="34"/>
      <c r="G20" s="32" t="s">
        <v>31</v>
      </c>
      <c r="H20" s="33">
        <f t="shared" si="1"/>
        <v>10.346153846153847</v>
      </c>
      <c r="I20" s="35">
        <v>9</v>
      </c>
      <c r="J20" s="36">
        <f t="shared" si="0"/>
        <v>1.1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12621</v>
      </c>
      <c r="F21" s="44"/>
      <c r="G21" s="44" t="s">
        <v>31</v>
      </c>
      <c r="H21" s="23">
        <f t="shared" si="1"/>
        <v>78.88125</v>
      </c>
      <c r="I21" s="46">
        <v>46</v>
      </c>
      <c r="J21" s="47">
        <f t="shared" si="0"/>
        <v>1.7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232</v>
      </c>
      <c r="F22" s="32"/>
      <c r="G22" s="32" t="s">
        <v>31</v>
      </c>
      <c r="H22" s="33">
        <f t="shared" si="1"/>
        <v>1.45</v>
      </c>
      <c r="I22" s="35">
        <v>6</v>
      </c>
      <c r="J22" s="36">
        <f t="shared" si="0"/>
        <v>0.2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17392</v>
      </c>
      <c r="F23" s="32"/>
      <c r="G23" s="32" t="s">
        <v>31</v>
      </c>
      <c r="H23" s="33">
        <f t="shared" si="1"/>
        <v>108.7</v>
      </c>
      <c r="I23" s="35">
        <v>20</v>
      </c>
      <c r="J23" s="36">
        <f t="shared" si="0"/>
        <v>5.4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17629</v>
      </c>
      <c r="F24" s="32"/>
      <c r="G24" s="49" t="s">
        <v>31</v>
      </c>
      <c r="H24" s="33">
        <f t="shared" si="1"/>
        <v>110.18125</v>
      </c>
      <c r="I24" s="35">
        <v>20</v>
      </c>
      <c r="J24" s="36">
        <f t="shared" si="0"/>
        <v>5.5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9708</v>
      </c>
      <c r="F25" s="32"/>
      <c r="G25" s="32" t="s">
        <v>31</v>
      </c>
      <c r="H25" s="33">
        <f t="shared" si="1"/>
        <v>60.675</v>
      </c>
      <c r="I25" s="35">
        <v>4</v>
      </c>
      <c r="J25" s="36">
        <f t="shared" si="0"/>
        <v>15.2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12190</v>
      </c>
      <c r="F26" s="53"/>
      <c r="G26" s="45" t="s">
        <v>16</v>
      </c>
      <c r="H26" s="23">
        <f t="shared" si="1"/>
        <v>243.8</v>
      </c>
      <c r="I26" s="46">
        <v>108</v>
      </c>
      <c r="J26" s="47">
        <f t="shared" si="0"/>
        <v>2.3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27215</v>
      </c>
      <c r="F27" s="58"/>
      <c r="G27" s="34" t="s">
        <v>16</v>
      </c>
      <c r="H27" s="33">
        <f t="shared" si="1"/>
        <v>544.3</v>
      </c>
      <c r="I27" s="35">
        <v>130</v>
      </c>
      <c r="J27" s="36">
        <f t="shared" si="0"/>
        <v>4.2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121</v>
      </c>
      <c r="F28" s="58"/>
      <c r="G28" s="34" t="s">
        <v>16</v>
      </c>
      <c r="H28" s="33">
        <f t="shared" si="1"/>
        <v>2.42</v>
      </c>
      <c r="I28" s="35">
        <v>46</v>
      </c>
      <c r="J28" s="36">
        <f t="shared" si="0"/>
        <v>0.1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145</v>
      </c>
      <c r="F29" s="58"/>
      <c r="G29" s="34" t="s">
        <v>16</v>
      </c>
      <c r="H29" s="33">
        <f t="shared" si="1"/>
        <v>2.9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19432</v>
      </c>
      <c r="F30" s="53"/>
      <c r="G30" s="45" t="s">
        <v>31</v>
      </c>
      <c r="H30" s="23">
        <f t="shared" si="1"/>
        <v>121.45</v>
      </c>
      <c r="I30" s="46">
        <v>15</v>
      </c>
      <c r="J30" s="47">
        <f t="shared" si="0"/>
        <v>8.1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29006</v>
      </c>
      <c r="F31" s="58"/>
      <c r="G31" s="34" t="s">
        <v>31</v>
      </c>
      <c r="H31" s="33">
        <f t="shared" si="1"/>
        <v>181.2875</v>
      </c>
      <c r="I31" s="35">
        <v>24</v>
      </c>
      <c r="J31" s="36">
        <f t="shared" si="0"/>
        <v>7.6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12481</v>
      </c>
      <c r="F32" s="58"/>
      <c r="G32" s="34" t="s">
        <v>31</v>
      </c>
      <c r="H32" s="33">
        <f t="shared" si="1"/>
        <v>78.00625</v>
      </c>
      <c r="I32" s="35">
        <v>21</v>
      </c>
      <c r="J32" s="36">
        <f t="shared" si="0"/>
        <v>3.7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17965</v>
      </c>
      <c r="F33" s="58"/>
      <c r="G33" s="34" t="s">
        <v>31</v>
      </c>
      <c r="H33" s="33">
        <f t="shared" si="1"/>
        <v>112.28125</v>
      </c>
      <c r="I33" s="35">
        <v>15</v>
      </c>
      <c r="J33" s="36">
        <f t="shared" si="0"/>
        <v>7.5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82</v>
      </c>
      <c r="F36" s="58"/>
      <c r="G36" s="34" t="s">
        <v>31</v>
      </c>
      <c r="H36" s="33">
        <f t="shared" si="1"/>
        <v>0.5125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5159</v>
      </c>
      <c r="F38" s="62"/>
      <c r="G38" s="64" t="s">
        <v>16</v>
      </c>
      <c r="H38" s="33">
        <f t="shared" si="1"/>
        <v>61.416666666666664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9614</v>
      </c>
      <c r="F39" s="62"/>
      <c r="G39" s="64" t="s">
        <v>16</v>
      </c>
      <c r="H39" s="33">
        <f t="shared" si="1"/>
        <v>192.28</v>
      </c>
      <c r="I39" s="35">
        <v>14</v>
      </c>
      <c r="J39" s="36">
        <f t="shared" si="0"/>
        <v>13.7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38157</v>
      </c>
      <c r="F40" s="62"/>
      <c r="G40" s="64" t="s">
        <v>16</v>
      </c>
      <c r="H40" s="33">
        <f t="shared" si="1"/>
        <v>280.56617647058823</v>
      </c>
      <c r="I40" s="35">
        <v>27</v>
      </c>
      <c r="J40" s="36">
        <f t="shared" si="0"/>
        <v>10.4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8197</v>
      </c>
      <c r="F41" s="69"/>
      <c r="G41" s="70" t="s">
        <v>16</v>
      </c>
      <c r="H41" s="48">
        <f t="shared" si="1"/>
        <v>51.23125</v>
      </c>
      <c r="I41" s="35">
        <v>2</v>
      </c>
      <c r="J41" s="36">
        <f t="shared" si="0"/>
        <v>25.6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3394</v>
      </c>
      <c r="F42" s="69"/>
      <c r="G42" s="70" t="s">
        <v>16</v>
      </c>
      <c r="H42" s="48">
        <f>+E42/C42</f>
        <v>21.2125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414800</v>
      </c>
      <c r="F45" s="82"/>
      <c r="G45" s="82"/>
      <c r="H45" s="84">
        <f>SUM(H5:H44)</f>
        <v>4446.153195701356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36" sqref="J36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46303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1431-1+16480+20800</f>
        <v>38710</v>
      </c>
      <c r="K24" s="24"/>
      <c r="L24" s="24" t="s">
        <v>16</v>
      </c>
      <c r="M24" s="109">
        <f t="shared" si="1"/>
        <v>38710</v>
      </c>
      <c r="N24" s="110">
        <f t="shared" si="4"/>
        <v>0</v>
      </c>
      <c r="O24" s="111">
        <f>51208-J24</f>
        <v>12498</v>
      </c>
      <c r="P24" s="111">
        <f>J24-IFERROR(VLOOKUP(A24,$R$26:$U$119,4,FALSE),0)+19600</f>
        <v>58310</v>
      </c>
      <c r="Q24" s="25">
        <f>+J24/H24</f>
        <v>483.875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0.6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161</v>
      </c>
      <c r="K25" s="34"/>
      <c r="L25" s="34" t="s">
        <v>16</v>
      </c>
      <c r="M25" s="115">
        <f t="shared" si="1"/>
        <v>161</v>
      </c>
      <c r="N25" s="116">
        <f t="shared" si="4"/>
        <v>0</v>
      </c>
      <c r="O25" s="117">
        <f>204-J25</f>
        <v>43</v>
      </c>
      <c r="P25" s="118">
        <f>J25-IFERROR(VLOOKUP(A25,$R$26:$U$119,4,FALSE),0)+0</f>
        <v>161</v>
      </c>
      <c r="Q25" s="33">
        <f t="shared" ref="Q25:Q88" si="5">+J25/H25</f>
        <v>2.0125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2045+20160</f>
        <v>22205</v>
      </c>
      <c r="K26" s="34"/>
      <c r="L26" s="34" t="s">
        <v>16</v>
      </c>
      <c r="M26" s="115">
        <f t="shared" si="1"/>
        <v>-1211</v>
      </c>
      <c r="N26" s="116">
        <f t="shared" si="4"/>
        <v>23416</v>
      </c>
      <c r="O26" s="117">
        <f>8449-J26</f>
        <v>-13756</v>
      </c>
      <c r="P26" s="118">
        <f>J26-IFERROR(VLOOKUP(A26,$R$26:$U$119,4,FALSE),0)+5120</f>
        <v>3909</v>
      </c>
      <c r="Q26" s="33">
        <f t="shared" si="5"/>
        <v>277.5625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1.2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2606</v>
      </c>
      <c r="K27" s="34"/>
      <c r="L27" s="34" t="s">
        <v>16</v>
      </c>
      <c r="M27" s="115">
        <f t="shared" si="1"/>
        <v>2603</v>
      </c>
      <c r="N27" s="116">
        <f t="shared" si="4"/>
        <v>3</v>
      </c>
      <c r="O27" s="117">
        <f>5605-J27</f>
        <v>2999</v>
      </c>
      <c r="P27" s="118">
        <f>J27-IFERROR(VLOOKUP(A27,$R$26:$U$119,4,FALSE),0)+4720+0</f>
        <v>7323</v>
      </c>
      <c r="Q27" s="33">
        <f t="shared" si="5"/>
        <v>32.575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0.4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4866+9353</f>
        <v>14219</v>
      </c>
      <c r="K29" s="34"/>
      <c r="L29" s="34" t="s">
        <v>16</v>
      </c>
      <c r="M29" s="115">
        <f t="shared" si="1"/>
        <v>10743</v>
      </c>
      <c r="N29" s="116">
        <f t="shared" si="4"/>
        <v>3476</v>
      </c>
      <c r="O29" s="117">
        <f>9357-J29</f>
        <v>-4862</v>
      </c>
      <c r="P29" s="118">
        <f>J29-IFERROR(VLOOKUP(A29,$R$26:$U$119,4,FALSE),0)+640</f>
        <v>11383</v>
      </c>
      <c r="Q29" s="33">
        <f t="shared" si="5"/>
        <v>177.7375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0.7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f>0+4000</f>
        <v>4000</v>
      </c>
      <c r="K31" s="34"/>
      <c r="L31" s="34" t="s">
        <v>16</v>
      </c>
      <c r="M31" s="115">
        <f t="shared" si="1"/>
        <v>3999</v>
      </c>
      <c r="N31" s="116">
        <f t="shared" si="4"/>
        <v>1</v>
      </c>
      <c r="O31" s="117">
        <f>525-J31</f>
        <v>-3475</v>
      </c>
      <c r="P31" s="118">
        <f>J31-IFERROR(VLOOKUP(A31,$R$26:$U$119,4,FALSE),0)+0</f>
        <v>3999</v>
      </c>
      <c r="Q31" s="33">
        <f t="shared" si="5"/>
        <v>50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8.3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39359</v>
      </c>
      <c r="K33" s="32"/>
      <c r="L33" s="32" t="s">
        <v>31</v>
      </c>
      <c r="M33" s="115">
        <f t="shared" si="1"/>
        <v>39359</v>
      </c>
      <c r="N33" s="116">
        <f>+IFERROR(VLOOKUP(A33,$R$24:$U$119,4,FALSE),0)-0</f>
        <v>0</v>
      </c>
      <c r="O33" s="117">
        <f>0-J33</f>
        <v>-39359</v>
      </c>
      <c r="P33" s="118">
        <f>J33-IFERROR(VLOOKUP(A33,$R$24:$U$119,4,FALSE),0)+0</f>
        <v>39359</v>
      </c>
      <c r="Q33" s="33">
        <f t="shared" si="5"/>
        <v>491.9875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8.2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223</v>
      </c>
      <c r="K34" s="32"/>
      <c r="L34" s="32" t="s">
        <v>31</v>
      </c>
      <c r="M34" s="115">
        <f t="shared" si="1"/>
        <v>-50707</v>
      </c>
      <c r="N34" s="116">
        <f>+IFERROR(VLOOKUP(A34,$R$24:$U$119,4,FALSE),0)-0</f>
        <v>50930</v>
      </c>
      <c r="O34" s="117">
        <f>0-J34</f>
        <v>-223</v>
      </c>
      <c r="P34" s="118">
        <f>J34-IFERROR(VLOOKUP(A34,$R$24:$U$119,4,FALSE),0)+0</f>
        <v>-50707</v>
      </c>
      <c r="Q34" s="33">
        <f t="shared" si="5"/>
        <v>2.7875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0.5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551+16770</f>
        <v>17321</v>
      </c>
      <c r="K35" s="45"/>
      <c r="L35" s="45" t="s">
        <v>31</v>
      </c>
      <c r="M35" s="124">
        <f t="shared" si="1"/>
        <v>-10989</v>
      </c>
      <c r="N35" s="125">
        <f t="shared" ref="N35:N48" si="7">+IFERROR(VLOOKUP(A35,$R$26:$U$119,4,FALSE),0)-0</f>
        <v>28310</v>
      </c>
      <c r="O35" s="126">
        <f>132941-J35</f>
        <v>115620</v>
      </c>
      <c r="P35" s="127">
        <f>J35-IFERROR(VLOOKUP(A35,$R$26:$U$119,4,FALSE),0)+3198</f>
        <v>-7791</v>
      </c>
      <c r="Q35" s="23">
        <f t="shared" si="5"/>
        <v>222.06410256410257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1.9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4888-1</f>
        <v>4887</v>
      </c>
      <c r="K36" s="34"/>
      <c r="L36" s="34" t="s">
        <v>31</v>
      </c>
      <c r="M36" s="115">
        <f t="shared" si="1"/>
        <v>-12664</v>
      </c>
      <c r="N36" s="116">
        <f t="shared" si="7"/>
        <v>17551</v>
      </c>
      <c r="O36" s="117">
        <f>51894-J36</f>
        <v>47007</v>
      </c>
      <c r="P36" s="118">
        <f>J36-IFERROR(VLOOKUP(A36,$R$26:$U$119,4,FALSE),0)+2106</f>
        <v>-10558</v>
      </c>
      <c r="Q36" s="33">
        <f t="shared" si="5"/>
        <v>62.65384615384615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4.5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29341+1</f>
        <v>29342</v>
      </c>
      <c r="K37" s="34"/>
      <c r="L37" s="34" t="s">
        <v>31</v>
      </c>
      <c r="M37" s="115">
        <f t="shared" si="1"/>
        <v>21497</v>
      </c>
      <c r="N37" s="116">
        <f t="shared" si="7"/>
        <v>7845</v>
      </c>
      <c r="O37" s="118">
        <f>17462-J37</f>
        <v>-11880</v>
      </c>
      <c r="P37" s="118">
        <f>J37-IFERROR(VLOOKUP(A37,$R$26:$U$119,4,FALSE),0)+2496</f>
        <v>23993</v>
      </c>
      <c r="Q37" s="33">
        <f t="shared" si="5"/>
        <v>376.1794871794872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7.7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78+1</f>
        <v>79</v>
      </c>
      <c r="K38" s="34"/>
      <c r="L38" s="34" t="s">
        <v>31</v>
      </c>
      <c r="M38" s="115">
        <f t="shared" si="1"/>
        <v>-23200</v>
      </c>
      <c r="N38" s="116">
        <f t="shared" si="7"/>
        <v>23279</v>
      </c>
      <c r="O38" s="117">
        <f>39597-J38</f>
        <v>39518</v>
      </c>
      <c r="P38" s="118">
        <f>J38-IFERROR(VLOOKUP(A38,$R$26:$U$119,4,FALSE),0)+2652</f>
        <v>-20548</v>
      </c>
      <c r="Q38" s="33">
        <f t="shared" si="5"/>
        <v>1.0128205128205128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140</v>
      </c>
      <c r="K40" s="34"/>
      <c r="L40" s="32" t="s">
        <v>31</v>
      </c>
      <c r="M40" s="115">
        <f>+J40-N40</f>
        <v>140</v>
      </c>
      <c r="N40" s="116">
        <f t="shared" si="7"/>
        <v>0</v>
      </c>
      <c r="O40" s="117">
        <f>50966-J40</f>
        <v>50826</v>
      </c>
      <c r="P40" s="118">
        <f>J40-IFERROR(VLOOKUP(A40,$R$26:$U$119,4,FALSE),0)+702</f>
        <v>842</v>
      </c>
      <c r="Q40" s="33">
        <f t="shared" si="5"/>
        <v>1.794871794871795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0.3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807</v>
      </c>
      <c r="K43" s="34"/>
      <c r="L43" s="32" t="s">
        <v>31</v>
      </c>
      <c r="M43" s="115">
        <f>+J43-N43</f>
        <v>807</v>
      </c>
      <c r="N43" s="116">
        <f t="shared" si="7"/>
        <v>0</v>
      </c>
      <c r="O43" s="117">
        <f>50966-J43</f>
        <v>50159</v>
      </c>
      <c r="P43" s="118">
        <f>J43-IFERROR(VLOOKUP(A43,$R$26:$U$119,4,FALSE),0)+702</f>
        <v>1509</v>
      </c>
      <c r="Q43" s="33">
        <f t="shared" si="5"/>
        <v>10.346153846153847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1.1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12623-2</f>
        <v>12621</v>
      </c>
      <c r="K44" s="44"/>
      <c r="L44" s="44" t="s">
        <v>31</v>
      </c>
      <c r="M44" s="124">
        <f t="shared" si="1"/>
        <v>-35174</v>
      </c>
      <c r="N44" s="125">
        <f t="shared" si="7"/>
        <v>47795</v>
      </c>
      <c r="O44" s="126">
        <f>53358-J44</f>
        <v>40737</v>
      </c>
      <c r="P44" s="127">
        <f>J44-IFERROR(VLOOKUP(A44,$R$26:$U$119,4,FALSE),0)+5280</f>
        <v>-29894</v>
      </c>
      <c r="Q44" s="23">
        <f t="shared" si="5"/>
        <v>78.88125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1.7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v>232</v>
      </c>
      <c r="K45" s="32"/>
      <c r="L45" s="32" t="s">
        <v>31</v>
      </c>
      <c r="M45" s="115">
        <f t="shared" si="1"/>
        <v>-10871</v>
      </c>
      <c r="N45" s="116">
        <f t="shared" si="7"/>
        <v>11103</v>
      </c>
      <c r="O45" s="117">
        <f>20108-J45</f>
        <v>19876</v>
      </c>
      <c r="P45" s="118">
        <f>J45-IFERROR(VLOOKUP(A45,$R$26:$U$119,4,FALSE),0)+960</f>
        <v>-9911</v>
      </c>
      <c r="Q45" s="33">
        <f t="shared" si="5"/>
        <v>1.45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0.2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f>6810+10582</f>
        <v>17392</v>
      </c>
      <c r="K46" s="32"/>
      <c r="L46" s="32" t="s">
        <v>31</v>
      </c>
      <c r="M46" s="115">
        <f t="shared" si="1"/>
        <v>14430</v>
      </c>
      <c r="N46" s="116">
        <f t="shared" si="7"/>
        <v>2962</v>
      </c>
      <c r="O46" s="117">
        <f>6244-J46</f>
        <v>-11148</v>
      </c>
      <c r="P46" s="118">
        <f>J46-IFERROR(VLOOKUP(A46,$R$26:$U$119,4,FALSE),0)+1760</f>
        <v>16190</v>
      </c>
      <c r="Q46" s="33">
        <f t="shared" si="5"/>
        <v>108.7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5.4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17628+1</f>
        <v>17629</v>
      </c>
      <c r="K48" s="32"/>
      <c r="L48" s="49" t="s">
        <v>31</v>
      </c>
      <c r="M48" s="115">
        <f t="shared" si="1"/>
        <v>17623</v>
      </c>
      <c r="N48" s="116">
        <f t="shared" si="7"/>
        <v>6</v>
      </c>
      <c r="O48" s="117">
        <f>30490-J48</f>
        <v>12861</v>
      </c>
      <c r="P48" s="118">
        <f>J48-IFERROR(VLOOKUP(A48,$R$26:$U$119,4,FALSE),0)+2880+0</f>
        <v>20503</v>
      </c>
      <c r="Q48" s="33">
        <f t="shared" si="5"/>
        <v>110.18125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5.5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9708</v>
      </c>
      <c r="K52" s="32"/>
      <c r="L52" s="32" t="s">
        <v>31</v>
      </c>
      <c r="M52" s="115"/>
      <c r="N52" s="116"/>
      <c r="O52" s="117"/>
      <c r="P52" s="118"/>
      <c r="Q52" s="33">
        <f t="shared" si="5"/>
        <v>60.675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15.2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12190</v>
      </c>
      <c r="K63" s="53"/>
      <c r="L63" s="45" t="s">
        <v>16</v>
      </c>
      <c r="M63" s="124">
        <f t="shared" si="1"/>
        <v>-28440</v>
      </c>
      <c r="N63" s="125">
        <f t="shared" si="8"/>
        <v>40630</v>
      </c>
      <c r="O63" s="126">
        <f t="shared" ref="O63:O69" si="10">52606-J63</f>
        <v>40416</v>
      </c>
      <c r="P63" s="127">
        <f t="shared" ref="P63:P69" si="11">J63-IFERROR(VLOOKUP(A63,$R$26:$U$119,4,FALSE),0)+6150</f>
        <v>-22290</v>
      </c>
      <c r="Q63" s="23">
        <f t="shared" si="5"/>
        <v>243.8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2.3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19015+8200</f>
        <v>27215</v>
      </c>
      <c r="K64" s="58"/>
      <c r="L64" s="34" t="s">
        <v>16</v>
      </c>
      <c r="M64" s="115">
        <f t="shared" si="1"/>
        <v>27215</v>
      </c>
      <c r="N64" s="116">
        <f t="shared" si="8"/>
        <v>0</v>
      </c>
      <c r="O64" s="117">
        <f t="shared" si="10"/>
        <v>25391</v>
      </c>
      <c r="P64" s="118">
        <f t="shared" si="11"/>
        <v>33365</v>
      </c>
      <c r="Q64" s="33">
        <f t="shared" si="5"/>
        <v>544.3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4.2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121</v>
      </c>
      <c r="K68" s="58"/>
      <c r="L68" s="34" t="s">
        <v>16</v>
      </c>
      <c r="M68" s="115">
        <f t="shared" si="1"/>
        <v>121</v>
      </c>
      <c r="N68" s="116">
        <f t="shared" si="8"/>
        <v>0</v>
      </c>
      <c r="O68" s="117">
        <f t="shared" si="10"/>
        <v>52485</v>
      </c>
      <c r="P68" s="118">
        <f t="shared" si="11"/>
        <v>6271</v>
      </c>
      <c r="Q68" s="33">
        <f t="shared" si="5"/>
        <v>2.42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0.1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145</v>
      </c>
      <c r="K69" s="58"/>
      <c r="L69" s="34" t="s">
        <v>16</v>
      </c>
      <c r="M69" s="115">
        <f t="shared" si="1"/>
        <v>145</v>
      </c>
      <c r="N69" s="116">
        <f t="shared" si="8"/>
        <v>0</v>
      </c>
      <c r="O69" s="117">
        <f t="shared" si="10"/>
        <v>52461</v>
      </c>
      <c r="P69" s="118">
        <f t="shared" si="11"/>
        <v>6295</v>
      </c>
      <c r="Q69" s="33">
        <f t="shared" si="5"/>
        <v>2.9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19430+2</f>
        <v>19432</v>
      </c>
      <c r="K74" s="53"/>
      <c r="L74" s="45" t="s">
        <v>31</v>
      </c>
      <c r="M74" s="124">
        <f t="shared" si="1"/>
        <v>19432</v>
      </c>
      <c r="N74" s="125">
        <f t="shared" si="8"/>
        <v>0</v>
      </c>
      <c r="O74" s="126"/>
      <c r="P74" s="127">
        <f t="shared" si="12"/>
        <v>19432</v>
      </c>
      <c r="Q74" s="23">
        <f t="shared" si="5"/>
        <v>121.45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8.1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29007-1</f>
        <v>29006</v>
      </c>
      <c r="K75" s="58"/>
      <c r="L75" s="34" t="s">
        <v>31</v>
      </c>
      <c r="M75" s="115">
        <f t="shared" si="1"/>
        <v>29006</v>
      </c>
      <c r="N75" s="116">
        <f t="shared" si="8"/>
        <v>0</v>
      </c>
      <c r="O75" s="117"/>
      <c r="P75" s="118">
        <f t="shared" si="12"/>
        <v>29006</v>
      </c>
      <c r="Q75" s="33">
        <f t="shared" si="5"/>
        <v>181.2875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7.6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12483-2</f>
        <v>12481</v>
      </c>
      <c r="K76" s="58"/>
      <c r="L76" s="34" t="s">
        <v>31</v>
      </c>
      <c r="M76" s="115">
        <f t="shared" si="1"/>
        <v>12481</v>
      </c>
      <c r="N76" s="116">
        <f t="shared" si="8"/>
        <v>0</v>
      </c>
      <c r="O76" s="117"/>
      <c r="P76" s="118">
        <f t="shared" si="12"/>
        <v>12481</v>
      </c>
      <c r="Q76" s="33">
        <f t="shared" si="5"/>
        <v>78.00625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3.7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17965</v>
      </c>
      <c r="K77" s="58"/>
      <c r="L77" s="34" t="s">
        <v>31</v>
      </c>
      <c r="M77" s="115">
        <f t="shared" si="1"/>
        <v>17965</v>
      </c>
      <c r="N77" s="116">
        <f t="shared" si="8"/>
        <v>0</v>
      </c>
      <c r="O77" s="117"/>
      <c r="P77" s="118">
        <f t="shared" si="12"/>
        <v>17965</v>
      </c>
      <c r="Q77" s="33">
        <f t="shared" si="5"/>
        <v>112.28125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7.5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82</v>
      </c>
      <c r="K80" s="58"/>
      <c r="L80" s="34" t="s">
        <v>31</v>
      </c>
      <c r="M80" s="115">
        <f t="shared" si="13"/>
        <v>82</v>
      </c>
      <c r="N80" s="116">
        <f t="shared" si="8"/>
        <v>0</v>
      </c>
      <c r="O80" s="117"/>
      <c r="P80" s="118">
        <f t="shared" si="12"/>
        <v>82</v>
      </c>
      <c r="Q80" s="33">
        <f t="shared" si="5"/>
        <v>0.5125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5159</v>
      </c>
      <c r="K82" s="62"/>
      <c r="L82" s="64" t="s">
        <v>16</v>
      </c>
      <c r="M82" s="115">
        <f t="shared" si="13"/>
        <v>5159</v>
      </c>
      <c r="N82" s="116">
        <f t="shared" si="8"/>
        <v>0</v>
      </c>
      <c r="O82" s="117"/>
      <c r="P82" s="118">
        <f t="shared" si="12"/>
        <v>5159</v>
      </c>
      <c r="Q82" s="33">
        <f t="shared" si="5"/>
        <v>61.416666666666664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9614</v>
      </c>
      <c r="K83" s="62"/>
      <c r="L83" s="64" t="s">
        <v>16</v>
      </c>
      <c r="M83" s="115"/>
      <c r="N83" s="116"/>
      <c r="O83" s="117"/>
      <c r="P83" s="118"/>
      <c r="Q83" s="33">
        <f t="shared" si="5"/>
        <v>192.28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13.7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38157</v>
      </c>
      <c r="K84" s="62"/>
      <c r="L84" s="64" t="s">
        <v>16</v>
      </c>
      <c r="M84" s="115"/>
      <c r="N84" s="116"/>
      <c r="O84" s="117"/>
      <c r="P84" s="118"/>
      <c r="Q84" s="33">
        <f t="shared" si="5"/>
        <v>280.56617647058823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10.4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8197</v>
      </c>
      <c r="K88" s="69"/>
      <c r="L88" s="70" t="s">
        <v>16</v>
      </c>
      <c r="M88" s="161"/>
      <c r="N88" s="162"/>
      <c r="O88" s="118"/>
      <c r="P88" s="118"/>
      <c r="Q88" s="48">
        <f t="shared" si="5"/>
        <v>51.23125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25.6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3394</v>
      </c>
      <c r="K89" s="69"/>
      <c r="L89" s="70" t="s">
        <v>16</v>
      </c>
      <c r="M89" s="161"/>
      <c r="N89" s="162"/>
      <c r="O89" s="118"/>
      <c r="P89" s="118"/>
      <c r="Q89" s="48">
        <f>+J89/H89</f>
        <v>21.2125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414800</v>
      </c>
      <c r="K94" s="82"/>
      <c r="L94" s="82"/>
      <c r="M94" s="176">
        <f>SUM(M14:M93)</f>
        <v>88423</v>
      </c>
      <c r="N94" s="82"/>
      <c r="O94" s="177">
        <f>SUM(O14:O93)</f>
        <v>790030</v>
      </c>
      <c r="P94" s="178">
        <f>SUM(P14:P93)</f>
        <v>186395</v>
      </c>
      <c r="Q94" s="84">
        <f>SUM(Q24:Q93)</f>
        <v>4446.153195701356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2026-10-09T11:55:45Z</dcterms:modified>
</cp:coreProperties>
</file>