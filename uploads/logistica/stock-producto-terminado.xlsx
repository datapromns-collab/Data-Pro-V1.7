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Sistema'!$A1:$J49</definedName>
  </definedNames>
  <calcPr calcId="171027"/>
</workbook>
</file>

<file path=xl/sharedStrings.xml><?xml version="1.0" encoding="utf-8"?>
<sst xmlns="http://schemas.openxmlformats.org/spreadsheetml/2006/main" count="140" uniqueCount="100">
  <si>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</si>
  <si>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</si>
  <si>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</si>
  <si>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</si>
  <si>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</si>
  <si>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</si>
  <si>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</si>
  <si>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</si>
  <si>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</si>
  <si>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</si>
  <si>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</si>
  <si>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</si>
  <si>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</si>
  <si>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</si>
  <si>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</si>
  <si>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</si>
  <si>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</si>
  <si>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</si>
  <si>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</si>
  <si>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</si>
  <si>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</si>
  <si>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</si>
  <si>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</si>
  <si>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</si>
  <si>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</si>
  <si>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</si>
  <si>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</si>
  <si>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</si>
  <si>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</si>
  <si>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</si>
  <si>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</si>
  <si>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</si>
  <si>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</si>
  <si>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</si>
  <si>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</si>
  <si>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</si>
  <si>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</si>
  <si>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</si>
  <si>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</si>
  <si>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</si>
  <si>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</si>
  <si>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</si>
  <si>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</si>
  <si>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</si>
  <si>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</si>
  <si>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</si>
  <si>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</si>
  <si>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</si>
  <si>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</si>
  <si>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</si>
  <si>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</si>
  <si>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</si>
  <si>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</si>
  <si>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</si>
  <si>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</si>
  <si>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</si>
  <si>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</si>
  <si>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</si>
  <si>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</si>
  <si>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</si>
  <si>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</si>
  <si>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</si>
  <si>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PRODT-0101</t>
  </si>
  <si>
    <t>JUSTY SANDIA CAJA X 12BOT X 1.5LTS</t>
  </si>
  <si>
    <t>PRODT-0102</t>
  </si>
  <si>
    <t>JUSTY MANDARINA CAJA X 12BOT X 1.5LTS</t>
  </si>
  <si>
    <t>PRODT-0103</t>
  </si>
  <si>
    <t>JUSTY TAMARINDO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</si>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</sst>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87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3" fontId="7" fillId="3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7" fillId="4" borderId="14" xfId="0" applyNumberFormat="1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5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8"/>
  <sheetViews>
    <sheetView workbookViewId="0" zoomScale="80" zoomScaleNormal="80">
      <selection activeCell="A47" sqref="A47"/>
    </sheetView>
  </sheetViews>
  <sheetFormatPr defaultRowHeight="15" outlineLevelRow="0" outlineLevelCol="0" x14ac:dyDescent="0.25"/>
  <cols>
    <col min="1" max="1" width="17.140625" customWidth="1"/>
    <col min="2" max="2" width="58.425781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46290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3110+5981+10640</f>
        <v>19731</v>
      </c>
      <c r="F5" s="24"/>
      <c r="G5" s="24" t="s">
        <v>16</v>
      </c>
      <c r="H5" s="25">
        <f>+E5/C5</f>
        <v>246.6375</v>
      </c>
      <c r="I5" s="26">
        <v>804</v>
      </c>
      <c r="J5" s="27">
        <f>IFERROR(ROUND((+H5/I5),1),0)</f>
        <v>0.3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v>22096</v>
      </c>
      <c r="F6" s="34"/>
      <c r="G6" s="34" t="s">
        <v>16</v>
      </c>
      <c r="H6" s="33">
        <f t="shared" ref="H6:H44" si="0">+E6/C6</f>
        <v>276.2</v>
      </c>
      <c r="I6" s="35">
        <v>111</v>
      </c>
      <c r="J6" s="36">
        <f>IFERROR(ROUND((+H6/I6),1),0)</f>
        <v>2.5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3">
        <f>4558+19440</f>
        <v>23998</v>
      </c>
      <c r="F7" s="34"/>
      <c r="G7" s="34" t="s">
        <v>16</v>
      </c>
      <c r="H7" s="33">
        <f t="shared" si="0"/>
        <v>299.975</v>
      </c>
      <c r="I7" s="35">
        <v>240</v>
      </c>
      <c r="J7" s="36">
        <f>IFERROR(ROUND((+H7/I7),1),0)</f>
        <v>1.2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v>16562</v>
      </c>
      <c r="F8" s="34"/>
      <c r="G8" s="34" t="s">
        <v>16</v>
      </c>
      <c r="H8" s="33">
        <f t="shared" si="0"/>
        <v>207.025</v>
      </c>
      <c r="I8" s="35">
        <v>83</v>
      </c>
      <c r="J8" s="36">
        <f>IFERROR(ROUND((+H8/I8),1),0)</f>
        <v>2.5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v>0</v>
      </c>
      <c r="F9" s="34"/>
      <c r="G9" s="34" t="s">
        <v>16</v>
      </c>
      <c r="H9" s="33">
        <f t="shared" si="0"/>
        <v>0</v>
      </c>
      <c r="I9" s="35">
        <v>86</v>
      </c>
      <c r="J9" s="36">
        <f>IFERROR(ROUND((+H9/I9),1),0)</f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1976+15760</f>
        <v>17736</v>
      </c>
      <c r="F10" s="34"/>
      <c r="G10" s="34" t="s">
        <v>16</v>
      </c>
      <c r="H10" s="33">
        <f t="shared" si="0"/>
        <v>221.7</v>
      </c>
      <c r="I10" s="35">
        <v>261</v>
      </c>
      <c r="J10" s="36">
        <f>IFERROR(ROUND((+H10/I10),1),0)</f>
        <v>0.8</v>
      </c>
    </row>
    <row r="11" ht="27.95" customHeight="1" spans="1:10" x14ac:dyDescent="0.25">
      <c r="A11" s="37" t="s">
        <v>27</v>
      </c>
      <c r="B11" s="38" t="s">
        <v>28</v>
      </c>
      <c r="C11" s="31">
        <v>80</v>
      </c>
      <c r="D11" s="32"/>
      <c r="E11" s="33">
        <v>3424</v>
      </c>
      <c r="F11" s="34"/>
      <c r="G11" s="34" t="s">
        <v>16</v>
      </c>
      <c r="H11" s="33">
        <f t="shared" si="0"/>
        <v>42.8</v>
      </c>
      <c r="I11" s="35">
        <v>6</v>
      </c>
      <c r="J11" s="36">
        <f>IFERROR(ROUND((+H11/I11),1),0)</f>
        <v>7.1</v>
      </c>
    </row>
    <row r="12" ht="27.95" customHeight="1" spans="1:10" x14ac:dyDescent="0.25">
      <c r="A12" s="37" t="s">
        <v>29</v>
      </c>
      <c r="B12" s="38" t="s">
        <v>30</v>
      </c>
      <c r="C12" s="31">
        <v>80</v>
      </c>
      <c r="D12" s="32"/>
      <c r="E12" s="39">
        <f>33300-1-1</f>
        <v>33298</v>
      </c>
      <c r="F12" s="32"/>
      <c r="G12" s="32" t="s">
        <v>31</v>
      </c>
      <c r="H12" s="33">
        <f t="shared" si="0"/>
        <v>416.225</v>
      </c>
      <c r="I12" s="35">
        <v>60</v>
      </c>
      <c r="J12" s="36">
        <f>IFERROR(ROUND((+H12/I12),1),0)</f>
        <v>6.9</v>
      </c>
    </row>
    <row r="13" ht="27.95" customHeight="1" spans="1:10" x14ac:dyDescent="0.25">
      <c r="A13" s="37" t="s">
        <v>32</v>
      </c>
      <c r="B13" s="38" t="s">
        <v>33</v>
      </c>
      <c r="C13" s="31">
        <v>80</v>
      </c>
      <c r="D13" s="32"/>
      <c r="E13" s="33">
        <v>5822</v>
      </c>
      <c r="F13" s="32"/>
      <c r="G13" s="32" t="s">
        <v>31</v>
      </c>
      <c r="H13" s="33">
        <f t="shared" si="0"/>
        <v>72.775</v>
      </c>
      <c r="I13" s="35">
        <v>6</v>
      </c>
      <c r="J13" s="36">
        <f>IFERROR(ROUND((+H13/I13),1),0)</f>
        <v>12.1</v>
      </c>
    </row>
    <row r="14" ht="27.95" customHeight="1" spans="1:10" x14ac:dyDescent="0.25">
      <c r="A14" s="40" t="s">
        <v>34</v>
      </c>
      <c r="B14" s="41" t="s">
        <v>35</v>
      </c>
      <c r="C14" s="42">
        <v>78</v>
      </c>
      <c r="D14" s="43"/>
      <c r="E14" s="23">
        <f>4525+5343</f>
        <v>9868</v>
      </c>
      <c r="F14" s="44"/>
      <c r="G14" s="44" t="s">
        <v>31</v>
      </c>
      <c r="H14" s="23">
        <f t="shared" si="0"/>
        <v>126.51282051282051</v>
      </c>
      <c r="I14" s="45">
        <v>118</v>
      </c>
      <c r="J14" s="46">
        <f>IFERROR(ROUND((+H14/I14),1),0)</f>
        <v>1.1</v>
      </c>
    </row>
    <row r="15" ht="27.95" customHeight="1" spans="1:10" x14ac:dyDescent="0.25">
      <c r="A15" s="37" t="s">
        <v>36</v>
      </c>
      <c r="B15" s="38" t="s">
        <v>37</v>
      </c>
      <c r="C15" s="31">
        <v>78</v>
      </c>
      <c r="D15" s="32"/>
      <c r="E15" s="39">
        <f>309-1</f>
        <v>308</v>
      </c>
      <c r="F15" s="34"/>
      <c r="G15" s="34" t="s">
        <v>31</v>
      </c>
      <c r="H15" s="33">
        <f t="shared" si="0"/>
        <v>3.948717948717949</v>
      </c>
      <c r="I15" s="35">
        <v>14</v>
      </c>
      <c r="J15" s="36">
        <f>IFERROR(ROUND((+H15/I15),1),0)</f>
        <v>0.3</v>
      </c>
    </row>
    <row r="16" ht="27.95" customHeight="1" spans="1:10" x14ac:dyDescent="0.25">
      <c r="A16" s="37" t="s">
        <v>38</v>
      </c>
      <c r="B16" s="38" t="s">
        <v>39</v>
      </c>
      <c r="C16" s="31">
        <v>78</v>
      </c>
      <c r="D16" s="32"/>
      <c r="E16" s="33">
        <v>235</v>
      </c>
      <c r="F16" s="34"/>
      <c r="G16" s="34" t="s">
        <v>31</v>
      </c>
      <c r="H16" s="33">
        <f t="shared" si="0"/>
        <v>3.0128205128205128</v>
      </c>
      <c r="I16" s="35">
        <v>49</v>
      </c>
      <c r="J16" s="36">
        <f>IFERROR(ROUND((+H16/I16),1),0)</f>
        <v>0.1</v>
      </c>
    </row>
    <row r="17" ht="27.95" customHeight="1" spans="1:10" x14ac:dyDescent="0.25">
      <c r="A17" s="37" t="s">
        <v>40</v>
      </c>
      <c r="B17" s="38" t="s">
        <v>41</v>
      </c>
      <c r="C17" s="31">
        <v>78</v>
      </c>
      <c r="D17" s="32"/>
      <c r="E17" s="47">
        <f>38+1+156</f>
        <v>195</v>
      </c>
      <c r="F17" s="34"/>
      <c r="G17" s="34" t="s">
        <v>31</v>
      </c>
      <c r="H17" s="33">
        <f t="shared" si="0"/>
        <v>2.5</v>
      </c>
      <c r="I17" s="35">
        <v>45</v>
      </c>
      <c r="J17" s="36">
        <f>IFERROR(ROUND((+H17/I17),1),0)</f>
        <v>0.1</v>
      </c>
    </row>
    <row r="18" ht="27.95" customHeight="1" spans="1:10" x14ac:dyDescent="0.25">
      <c r="A18" s="37" t="s">
        <v>42</v>
      </c>
      <c r="B18" s="38" t="s">
        <v>43</v>
      </c>
      <c r="C18" s="31">
        <v>78</v>
      </c>
      <c r="D18" s="32"/>
      <c r="E18" s="33">
        <v>6054</v>
      </c>
      <c r="F18" s="34"/>
      <c r="G18" s="32" t="s">
        <v>31</v>
      </c>
      <c r="H18" s="33">
        <f t="shared" si="0"/>
        <v>77.61538461538461</v>
      </c>
      <c r="I18" s="35">
        <v>7</v>
      </c>
      <c r="J18" s="36">
        <f>IFERROR(ROUND((+H18/I18),1),0)</f>
        <v>11.1</v>
      </c>
    </row>
    <row r="19" ht="27.95" customHeight="1" spans="1:10" x14ac:dyDescent="0.25">
      <c r="A19" s="37" t="s">
        <v>44</v>
      </c>
      <c r="B19" s="38" t="s">
        <v>45</v>
      </c>
      <c r="C19" s="31">
        <v>78</v>
      </c>
      <c r="D19" s="32"/>
      <c r="E19" s="33">
        <v>1</v>
      </c>
      <c r="F19" s="34"/>
      <c r="G19" s="32" t="s">
        <v>31</v>
      </c>
      <c r="H19" s="33">
        <f t="shared" si="0"/>
        <v>0.01282051282051282</v>
      </c>
      <c r="I19" s="35">
        <v>8</v>
      </c>
      <c r="J19" s="36">
        <f>IFERROR(ROUND((+H19/I19),1),0)</f>
        <v>0</v>
      </c>
    </row>
    <row r="20" ht="27.95" customHeight="1" spans="1:10" x14ac:dyDescent="0.25">
      <c r="A20" s="37" t="s">
        <v>46</v>
      </c>
      <c r="B20" s="38" t="s">
        <v>47</v>
      </c>
      <c r="C20" s="31">
        <v>78</v>
      </c>
      <c r="D20" s="32"/>
      <c r="E20" s="48">
        <v>11742</v>
      </c>
      <c r="F20" s="34"/>
      <c r="G20" s="32" t="s">
        <v>31</v>
      </c>
      <c r="H20" s="33">
        <f t="shared" si="0"/>
        <v>150.53846153846155</v>
      </c>
      <c r="I20" s="35">
        <v>9</v>
      </c>
      <c r="J20" s="36">
        <f>IFERROR(ROUND((+H20/I20),1),0)</f>
        <v>16.7</v>
      </c>
    </row>
    <row r="21" ht="27.95" customHeight="1" spans="1:10" x14ac:dyDescent="0.25">
      <c r="A21" s="40" t="s">
        <v>48</v>
      </c>
      <c r="B21" s="41" t="s">
        <v>49</v>
      </c>
      <c r="C21" s="42">
        <v>160</v>
      </c>
      <c r="D21" s="43"/>
      <c r="E21" s="23">
        <f>8409+5280</f>
        <v>13689</v>
      </c>
      <c r="F21" s="43"/>
      <c r="G21" s="43" t="s">
        <v>31</v>
      </c>
      <c r="H21" s="23">
        <f t="shared" si="0"/>
        <v>85.55625</v>
      </c>
      <c r="I21" s="45">
        <v>46</v>
      </c>
      <c r="J21" s="46">
        <f>IFERROR(ROUND((+H21/I21),1),0)</f>
        <v>1.9</v>
      </c>
    </row>
    <row r="22" ht="27.95" customHeight="1" spans="1:10" x14ac:dyDescent="0.25">
      <c r="A22" s="37" t="s">
        <v>50</v>
      </c>
      <c r="B22" s="38" t="s">
        <v>51</v>
      </c>
      <c r="C22" s="31">
        <v>160</v>
      </c>
      <c r="D22" s="32"/>
      <c r="E22" s="33">
        <v>11953</v>
      </c>
      <c r="F22" s="32"/>
      <c r="G22" s="32" t="s">
        <v>31</v>
      </c>
      <c r="H22" s="33">
        <f t="shared" si="0"/>
        <v>74.70625</v>
      </c>
      <c r="I22" s="35">
        <v>6</v>
      </c>
      <c r="J22" s="36">
        <f>IFERROR(ROUND((+H22/I22),1),0)</f>
        <v>12.5</v>
      </c>
    </row>
    <row r="23" ht="27.95" customHeight="1" spans="1:10" x14ac:dyDescent="0.25">
      <c r="A23" s="37" t="s">
        <v>52</v>
      </c>
      <c r="B23" s="38" t="s">
        <v>53</v>
      </c>
      <c r="C23" s="31">
        <v>160</v>
      </c>
      <c r="D23" s="32"/>
      <c r="E23" s="33">
        <v>18508</v>
      </c>
      <c r="F23" s="32"/>
      <c r="G23" s="32" t="s">
        <v>31</v>
      </c>
      <c r="H23" s="33">
        <f t="shared" si="0"/>
        <v>115.675</v>
      </c>
      <c r="I23" s="35">
        <v>20</v>
      </c>
      <c r="J23" s="36">
        <f>IFERROR(ROUND((+H23/I23),1),0)</f>
        <v>5.8</v>
      </c>
    </row>
    <row r="24" ht="27.95" customHeight="1" spans="1:10" x14ac:dyDescent="0.25">
      <c r="A24" s="37" t="s">
        <v>54</v>
      </c>
      <c r="B24" s="38" t="s">
        <v>55</v>
      </c>
      <c r="C24" s="31">
        <v>160</v>
      </c>
      <c r="D24" s="32"/>
      <c r="E24" s="33">
        <v>13619</v>
      </c>
      <c r="F24" s="32"/>
      <c r="G24" s="49" t="s">
        <v>31</v>
      </c>
      <c r="H24" s="33">
        <f t="shared" si="0"/>
        <v>85.11875</v>
      </c>
      <c r="I24" s="35">
        <v>20</v>
      </c>
      <c r="J24" s="36">
        <f>IFERROR(ROUND((+H24/I24),1),0)</f>
        <v>4.3</v>
      </c>
    </row>
    <row r="25" ht="27.95" customHeight="1" spans="1:12" x14ac:dyDescent="0.25">
      <c r="A25" s="37" t="s">
        <v>56</v>
      </c>
      <c r="B25" s="38" t="s">
        <v>57</v>
      </c>
      <c r="C25" s="31">
        <v>160</v>
      </c>
      <c r="D25" s="32"/>
      <c r="E25" s="33">
        <v>1260</v>
      </c>
      <c r="F25" s="32"/>
      <c r="G25" s="32" t="s">
        <v>31</v>
      </c>
      <c r="H25" s="33">
        <f t="shared" si="0"/>
        <v>7.875</v>
      </c>
      <c r="I25" s="35">
        <v>4</v>
      </c>
      <c r="J25" s="36">
        <f>IFERROR(ROUND((+H25/I25),1),0)</f>
        <v>2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v>8241</v>
      </c>
      <c r="F26" s="53"/>
      <c r="G26" s="44" t="s">
        <v>16</v>
      </c>
      <c r="H26" s="23">
        <f t="shared" si="0"/>
        <v>164.82</v>
      </c>
      <c r="I26" s="45">
        <v>108</v>
      </c>
      <c r="J26" s="46">
        <f>IFERROR(ROUND((+H26/I26),1),0)</f>
        <v>1.5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30339+4100</f>
        <v>34439</v>
      </c>
      <c r="F27" s="58"/>
      <c r="G27" s="34" t="s">
        <v>16</v>
      </c>
      <c r="H27" s="33">
        <f t="shared" si="0"/>
        <v>688.78</v>
      </c>
      <c r="I27" s="35">
        <v>130</v>
      </c>
      <c r="J27" s="36">
        <f>IFERROR(ROUND((+H27/I27),1),0)</f>
        <v>5.3</v>
      </c>
    </row>
    <row r="28" ht="27.95" customHeight="1" hidden="1" spans="1:10" x14ac:dyDescent="0.25">
      <c r="A28" s="55" t="s">
        <v>62</v>
      </c>
      <c r="B28" s="56" t="s">
        <v>63</v>
      </c>
      <c r="C28" s="57">
        <v>70</v>
      </c>
      <c r="D28" s="58"/>
      <c r="E28" s="33">
        <v>0</v>
      </c>
      <c r="F28" s="58"/>
      <c r="G28" s="34" t="s">
        <v>16</v>
      </c>
      <c r="H28" s="33">
        <f t="shared" si="0"/>
        <v>0</v>
      </c>
      <c r="I28" s="35">
        <v>0</v>
      </c>
      <c r="J28" s="36">
        <f>IFERROR(ROUND((+H28/I28),1),0)</f>
        <v>0</v>
      </c>
    </row>
    <row r="29" ht="27.95" customHeight="1" hidden="1" spans="1:10" x14ac:dyDescent="0.25">
      <c r="A29" s="55" t="s">
        <v>64</v>
      </c>
      <c r="B29" s="56" t="s">
        <v>65</v>
      </c>
      <c r="C29" s="57">
        <v>50</v>
      </c>
      <c r="D29" s="58"/>
      <c r="E29" s="33">
        <v>0</v>
      </c>
      <c r="F29" s="58"/>
      <c r="G29" s="34" t="s">
        <v>16</v>
      </c>
      <c r="H29" s="33">
        <f t="shared" si="0"/>
        <v>0</v>
      </c>
      <c r="I29" s="35">
        <v>0</v>
      </c>
      <c r="J29" s="36">
        <f>IFERROR(ROUND((+H29/I29),1),0)</f>
        <v>0</v>
      </c>
    </row>
    <row r="30" ht="27.95" customHeight="1" hidden="1" spans="1:10" x14ac:dyDescent="0.25">
      <c r="A30" s="55" t="s">
        <v>66</v>
      </c>
      <c r="B30" s="56" t="s">
        <v>67</v>
      </c>
      <c r="C30" s="57">
        <v>70</v>
      </c>
      <c r="D30" s="58"/>
      <c r="E30" s="33">
        <v>0</v>
      </c>
      <c r="F30" s="58"/>
      <c r="G30" s="34" t="s">
        <v>16</v>
      </c>
      <c r="H30" s="33">
        <f t="shared" si="0"/>
        <v>0</v>
      </c>
      <c r="I30" s="35">
        <v>0</v>
      </c>
      <c r="J30" s="36">
        <f>IFERROR(ROUND((+H30/I30),1),0)</f>
        <v>0</v>
      </c>
    </row>
    <row r="31" ht="27.95" customHeight="1" spans="1:10" x14ac:dyDescent="0.25">
      <c r="A31" s="55" t="s">
        <v>68</v>
      </c>
      <c r="B31" s="56" t="s">
        <v>69</v>
      </c>
      <c r="C31" s="57">
        <v>50</v>
      </c>
      <c r="D31" s="58"/>
      <c r="E31" s="47">
        <f>23107+50-1</f>
        <v>23156</v>
      </c>
      <c r="F31" s="58"/>
      <c r="G31" s="34" t="s">
        <v>16</v>
      </c>
      <c r="H31" s="33">
        <f t="shared" si="0"/>
        <v>463.12</v>
      </c>
      <c r="I31" s="35">
        <v>46</v>
      </c>
      <c r="J31" s="36">
        <f>IFERROR(ROUND((+H31/I31),1),0)</f>
        <v>10.1</v>
      </c>
    </row>
    <row r="32" ht="27.95" customHeight="1" spans="1:10" x14ac:dyDescent="0.25">
      <c r="A32" s="55" t="s">
        <v>70</v>
      </c>
      <c r="B32" s="56" t="s">
        <v>71</v>
      </c>
      <c r="C32" s="57">
        <v>50</v>
      </c>
      <c r="D32" s="58"/>
      <c r="E32" s="33">
        <v>9811</v>
      </c>
      <c r="F32" s="58"/>
      <c r="G32" s="34" t="s">
        <v>16</v>
      </c>
      <c r="H32" s="33">
        <f t="shared" si="0"/>
        <v>196.22</v>
      </c>
      <c r="I32" s="35">
        <v>80</v>
      </c>
      <c r="J32" s="36">
        <f>IFERROR(ROUND((+H32/I32),1),0)</f>
        <v>2.5</v>
      </c>
    </row>
    <row r="33" ht="27.95" customHeight="1" spans="1:10" x14ac:dyDescent="0.25">
      <c r="A33" s="50" t="s">
        <v>72</v>
      </c>
      <c r="B33" s="51" t="s">
        <v>73</v>
      </c>
      <c r="C33" s="52">
        <v>160</v>
      </c>
      <c r="D33" s="53"/>
      <c r="E33" s="23">
        <f>18471+4480</f>
        <v>22951</v>
      </c>
      <c r="F33" s="53"/>
      <c r="G33" s="44" t="s">
        <v>31</v>
      </c>
      <c r="H33" s="23">
        <f t="shared" si="0"/>
        <v>143.44375</v>
      </c>
      <c r="I33" s="45">
        <v>15</v>
      </c>
      <c r="J33" s="46">
        <f>IFERROR(ROUND((+H33/I33),1),0)</f>
        <v>9.6</v>
      </c>
    </row>
    <row r="34" ht="27.95" customHeight="1" spans="1:10" x14ac:dyDescent="0.25">
      <c r="A34" s="55" t="s">
        <v>74</v>
      </c>
      <c r="B34" s="56" t="s">
        <v>75</v>
      </c>
      <c r="C34" s="57">
        <v>160</v>
      </c>
      <c r="D34" s="58"/>
      <c r="E34" s="33">
        <f>4520+1920+4480</f>
        <v>10920</v>
      </c>
      <c r="F34" s="58"/>
      <c r="G34" s="34" t="s">
        <v>31</v>
      </c>
      <c r="H34" s="33">
        <f t="shared" si="0"/>
        <v>68.25</v>
      </c>
      <c r="I34" s="35">
        <v>24</v>
      </c>
      <c r="J34" s="36">
        <f>IFERROR(ROUND((+H34/I34),1),0)</f>
        <v>2.8</v>
      </c>
    </row>
    <row r="35" ht="27.95" customHeight="1" spans="1:10" x14ac:dyDescent="0.25">
      <c r="A35" s="55" t="s">
        <v>76</v>
      </c>
      <c r="B35" s="56" t="s">
        <v>77</v>
      </c>
      <c r="C35" s="57">
        <v>160</v>
      </c>
      <c r="D35" s="58"/>
      <c r="E35" s="33">
        <f>17053+4480</f>
        <v>21533</v>
      </c>
      <c r="F35" s="58"/>
      <c r="G35" s="34" t="s">
        <v>31</v>
      </c>
      <c r="H35" s="33">
        <f t="shared" si="0"/>
        <v>134.58125</v>
      </c>
      <c r="I35" s="35">
        <v>21</v>
      </c>
      <c r="J35" s="36">
        <f>IFERROR(ROUND((+H35/I35),1),0)</f>
        <v>6.4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9">
        <f>11006-160</f>
        <v>10846</v>
      </c>
      <c r="F36" s="58"/>
      <c r="G36" s="34" t="s">
        <v>31</v>
      </c>
      <c r="H36" s="33">
        <f t="shared" si="0"/>
        <v>67.7875</v>
      </c>
      <c r="I36" s="35">
        <v>15</v>
      </c>
      <c r="J36" s="36">
        <f>IFERROR(ROUND((+H36/I36),1),0)</f>
        <v>4.5</v>
      </c>
    </row>
    <row r="37" ht="27.95" customHeight="1" spans="1:10" x14ac:dyDescent="0.25">
      <c r="A37" s="50" t="s">
        <v>80</v>
      </c>
      <c r="B37" s="51" t="s">
        <v>81</v>
      </c>
      <c r="C37" s="52">
        <v>70</v>
      </c>
      <c r="D37" s="53"/>
      <c r="E37" s="23">
        <v>0</v>
      </c>
      <c r="F37" s="53"/>
      <c r="G37" s="44" t="s">
        <v>16</v>
      </c>
      <c r="H37" s="23">
        <f t="shared" si="0"/>
        <v>0</v>
      </c>
      <c r="I37" s="45">
        <v>0</v>
      </c>
      <c r="J37" s="46">
        <f>IFERROR(ROUND((+H37/I37),1),0)</f>
        <v>0</v>
      </c>
    </row>
    <row r="38" ht="27.95" customHeight="1" spans="1:10" x14ac:dyDescent="0.25">
      <c r="A38" s="55" t="s">
        <v>82</v>
      </c>
      <c r="B38" s="56" t="s">
        <v>83</v>
      </c>
      <c r="C38" s="57">
        <v>50</v>
      </c>
      <c r="D38" s="58"/>
      <c r="E38" s="33">
        <v>0</v>
      </c>
      <c r="F38" s="58"/>
      <c r="G38" s="34" t="s">
        <v>16</v>
      </c>
      <c r="H38" s="33">
        <f t="shared" si="0"/>
        <v>0</v>
      </c>
      <c r="I38" s="35">
        <v>1</v>
      </c>
      <c r="J38" s="36">
        <f>IFERROR(ROUND((+H38/I38),1),0)</f>
        <v>0</v>
      </c>
    </row>
    <row r="39" ht="27.95" customHeight="1" spans="1:10" x14ac:dyDescent="0.25">
      <c r="A39" s="55" t="s">
        <v>84</v>
      </c>
      <c r="B39" s="56" t="s">
        <v>85</v>
      </c>
      <c r="C39" s="57">
        <v>160</v>
      </c>
      <c r="D39" s="58"/>
      <c r="E39" s="33">
        <v>134</v>
      </c>
      <c r="F39" s="58"/>
      <c r="G39" s="34" t="s">
        <v>31</v>
      </c>
      <c r="H39" s="33">
        <f t="shared" si="0"/>
        <v>0.8375</v>
      </c>
      <c r="I39" s="35">
        <v>1</v>
      </c>
      <c r="J39" s="36">
        <f>IFERROR(ROUND((+H39/I39),1),0)</f>
        <v>0.8</v>
      </c>
    </row>
    <row r="40" ht="27.95" customHeight="1" spans="1:10" x14ac:dyDescent="0.25">
      <c r="A40" s="55" t="s">
        <v>86</v>
      </c>
      <c r="B40" s="56" t="s">
        <v>87</v>
      </c>
      <c r="C40" s="57">
        <v>160</v>
      </c>
      <c r="D40" s="58"/>
      <c r="E40" s="33">
        <v>0</v>
      </c>
      <c r="F40" s="58"/>
      <c r="G40" s="34" t="s">
        <v>31</v>
      </c>
      <c r="H40" s="33">
        <f>+E40/C40</f>
        <v>0</v>
      </c>
      <c r="I40" s="35">
        <v>0</v>
      </c>
      <c r="J40" s="36">
        <f>IFERROR(ROUND((+H40/I40),1),0)</f>
        <v>0</v>
      </c>
    </row>
    <row r="41" ht="27.95" customHeight="1" spans="1:10" x14ac:dyDescent="0.25">
      <c r="A41" s="59" t="s">
        <v>88</v>
      </c>
      <c r="B41" s="60" t="s">
        <v>89</v>
      </c>
      <c r="C41" s="61">
        <v>84</v>
      </c>
      <c r="D41" s="62"/>
      <c r="E41" s="63">
        <f>5049-1+2352</f>
        <v>7400</v>
      </c>
      <c r="F41" s="62"/>
      <c r="G41" s="64" t="s">
        <v>16</v>
      </c>
      <c r="H41" s="33">
        <f t="shared" si="0"/>
        <v>88.0952380952381</v>
      </c>
      <c r="I41" s="35">
        <v>0</v>
      </c>
      <c r="J41" s="36">
        <f>IFERROR(ROUND((+H41/I41),1),0)</f>
        <v>0</v>
      </c>
    </row>
    <row r="42" ht="27.95" customHeight="1" spans="1:10" x14ac:dyDescent="0.25">
      <c r="A42" s="59" t="s">
        <v>90</v>
      </c>
      <c r="B42" s="60" t="s">
        <v>91</v>
      </c>
      <c r="C42" s="61">
        <v>50</v>
      </c>
      <c r="D42" s="62"/>
      <c r="E42" s="65">
        <f>6738+1400+1400+1400+1400</f>
        <v>12338</v>
      </c>
      <c r="F42" s="62"/>
      <c r="G42" s="64" t="s">
        <v>16</v>
      </c>
      <c r="H42" s="33">
        <f t="shared" si="0"/>
        <v>246.76</v>
      </c>
      <c r="I42" s="35">
        <v>14</v>
      </c>
      <c r="J42" s="36">
        <f>IFERROR(ROUND((+H42/I42),1),0)</f>
        <v>17.6</v>
      </c>
    </row>
    <row r="43" ht="27.95" customHeight="1" spans="1:10" x14ac:dyDescent="0.25">
      <c r="A43" s="59" t="s">
        <v>92</v>
      </c>
      <c r="B43" s="60" t="s">
        <v>93</v>
      </c>
      <c r="C43" s="61">
        <v>136</v>
      </c>
      <c r="D43" s="62"/>
      <c r="E43" s="63">
        <f>19495-1+3808</f>
        <v>23302</v>
      </c>
      <c r="F43" s="62"/>
      <c r="G43" s="64" t="s">
        <v>16</v>
      </c>
      <c r="H43" s="33">
        <f t="shared" si="0"/>
        <v>171.33823529411765</v>
      </c>
      <c r="I43" s="35">
        <v>27</v>
      </c>
      <c r="J43" s="36">
        <f>IFERROR(ROUND((+H43/I43),1),0)</f>
        <v>6.3</v>
      </c>
    </row>
    <row r="44" ht="27.95" customHeight="1" spans="1:10" x14ac:dyDescent="0.25">
      <c r="A44" s="66" t="s">
        <v>94</v>
      </c>
      <c r="B44" s="67" t="s">
        <v>95</v>
      </c>
      <c r="C44" s="68">
        <v>160</v>
      </c>
      <c r="D44" s="69"/>
      <c r="E44" s="33">
        <v>5603</v>
      </c>
      <c r="F44" s="69"/>
      <c r="G44" s="70" t="s">
        <v>16</v>
      </c>
      <c r="H44" s="48">
        <f t="shared" si="0"/>
        <v>35.01875</v>
      </c>
      <c r="I44" s="35">
        <v>2</v>
      </c>
      <c r="J44" s="36">
        <f>IFERROR(ROUND((+H44/I44),1),0)</f>
        <v>17.5</v>
      </c>
    </row>
    <row r="45" ht="27.95" customHeight="1" spans="1:10" x14ac:dyDescent="0.25">
      <c r="A45" s="66" t="s">
        <v>96</v>
      </c>
      <c r="B45" s="67" t="s">
        <v>97</v>
      </c>
      <c r="C45" s="68">
        <v>160</v>
      </c>
      <c r="D45" s="69"/>
      <c r="E45" s="48">
        <v>3663</v>
      </c>
      <c r="F45" s="69"/>
      <c r="G45" s="70" t="s">
        <v>16</v>
      </c>
      <c r="H45" s="48">
        <f>+E45/C45</f>
        <v>22.89375</v>
      </c>
      <c r="I45" s="35">
        <v>0</v>
      </c>
      <c r="J45" s="36">
        <f>IFERROR(ROUND((+H45/I45),1),0)</f>
        <v>0</v>
      </c>
    </row>
    <row r="46" ht="27.95" customHeight="1" spans="1:10" x14ac:dyDescent="0.25">
      <c r="A46" s="71" t="s">
        <v>98</v>
      </c>
      <c r="B46" s="72" t="s">
        <v>99</v>
      </c>
      <c r="C46" s="73">
        <v>160</v>
      </c>
      <c r="D46" s="74"/>
      <c r="E46" s="75">
        <v>0</v>
      </c>
      <c r="F46" s="74"/>
      <c r="G46" s="76" t="s">
        <v>16</v>
      </c>
      <c r="H46" s="77">
        <f>+E46/C46</f>
        <v>0</v>
      </c>
      <c r="I46" s="78">
        <v>0</v>
      </c>
      <c r="J46" s="79">
        <f>IFERROR(ROUND((+H46/I46),1),0)</f>
        <v>0</v>
      </c>
    </row>
    <row r="47" ht="3.95" customHeight="1" spans="1:8" x14ac:dyDescent="0.25">
      <c r="A47" s="80"/>
      <c r="B47" s="80"/>
      <c r="E47" s="28"/>
      <c r="F47" s="28"/>
      <c r="G47" s="28"/>
      <c r="H47" s="81"/>
    </row>
    <row r="48" ht="26.25" customHeight="1" spans="1:8" x14ac:dyDescent="0.25">
      <c r="A48" s="82"/>
      <c r="B48" s="82"/>
      <c r="C48" s="82"/>
      <c r="D48" s="82"/>
      <c r="E48" s="83">
        <f>SUM(E5:E47)</f>
        <v>424436</v>
      </c>
      <c r="F48" s="82"/>
      <c r="G48" s="82"/>
      <c r="H48" s="84">
        <f>SUM(H5:H47)</f>
        <v>5008.355749030384</v>
      </c>
    </row>
    <row r="49" ht="15" customHeight="1" spans="1:8" x14ac:dyDescent="0.25">
      <c r="A49" s="80"/>
      <c r="B49" s="80"/>
      <c r="E49" s="28"/>
      <c r="F49" s="28"/>
      <c r="G49" s="28"/>
      <c r="H49" s="81"/>
    </row>
    <row r="50" ht="21" customHeight="1" spans="1:8" x14ac:dyDescent="0.25">
      <c r="A50" s="80"/>
      <c r="B50" s="80"/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28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28"/>
      <c r="F59" s="28"/>
      <c r="G59" s="28"/>
      <c r="H59" s="81"/>
    </row>
    <row r="60" ht="21" customHeight="1" spans="5:8" x14ac:dyDescent="0.25">
      <c r="E60" s="85"/>
      <c r="F60" s="28"/>
      <c r="G60" s="28"/>
      <c r="H60" s="81"/>
    </row>
    <row r="61" ht="21" customHeight="1" spans="5:8" x14ac:dyDescent="0.25">
      <c r="E61" s="28"/>
      <c r="F61" s="28"/>
      <c r="G61" s="28"/>
      <c r="H61" s="81"/>
    </row>
    <row r="62" ht="21" customHeight="1" spans="5:8" x14ac:dyDescent="0.25">
      <c r="E62" s="85"/>
      <c r="F62" s="28"/>
      <c r="G62" s="28"/>
      <c r="H62" s="81"/>
    </row>
    <row r="63" ht="21" customHeight="1" spans="5:8" x14ac:dyDescent="0.25">
      <c r="E63" s="28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28"/>
      <c r="F65" s="28"/>
      <c r="G65" s="28"/>
      <c r="H65" s="81"/>
    </row>
    <row r="66" ht="21" customHeight="1" spans="5:8" x14ac:dyDescent="0.25">
      <c r="E66" s="85"/>
      <c r="F66" s="28"/>
      <c r="G66" s="28"/>
      <c r="H66" s="81"/>
    </row>
    <row r="67" ht="21" customHeight="1" spans="5:8" x14ac:dyDescent="0.25">
      <c r="E67" s="85"/>
      <c r="F67" s="28"/>
      <c r="G67" s="28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1" ht="21" customHeight="1" spans="5:8" x14ac:dyDescent="0.25">
      <c r="E71" s="85"/>
      <c r="H71" s="81"/>
    </row>
    <row r="72" ht="21" customHeight="1" spans="5:8" x14ac:dyDescent="0.25">
      <c r="E72" s="85"/>
      <c r="H72" s="81"/>
    </row>
    <row r="73" ht="21" customHeight="1" spans="5:8" x14ac:dyDescent="0.25">
      <c r="E73" s="85"/>
      <c r="H73" s="81"/>
    </row>
    <row r="75" spans="5:5" x14ac:dyDescent="0.25">
      <c r="E75" s="28"/>
    </row>
    <row r="78" spans="7:7" x14ac:dyDescent="0.25">
      <c r="G78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">
    <cfRule type="cellIs" dxfId="36" priority="23" operator="lessThan">
      <formula>300</formula>
    </cfRule>
    <cfRule type="cellIs" dxfId="37" priority="24" operator="greaterThan">
      <formula>600</formula>
    </cfRule>
  </conditionalFormatting>
  <conditionalFormatting sqref="H29">
    <cfRule type="cellIs" dxfId="38" priority="10" operator="greaterThan">
      <formula>1500</formula>
    </cfRule>
  </conditionalFormatting>
  <conditionalFormatting sqref="H29:H32">
    <cfRule type="cellIs" dxfId="39" priority="7" operator="lessThan">
      <formula>500</formula>
    </cfRule>
  </conditionalFormatting>
  <conditionalFormatting sqref="H30">
    <cfRule type="cellIs" dxfId="40" priority="8" operator="greaterThan">
      <formula>800</formula>
    </cfRule>
  </conditionalFormatting>
  <conditionalFormatting sqref="H31">
    <cfRule type="cellIs" dxfId="41" priority="32" operator="greaterThan">
      <formula>1500</formula>
    </cfRule>
  </conditionalFormatting>
  <conditionalFormatting sqref="H32">
    <cfRule type="cellIs" dxfId="42" priority="28" operator="greaterThan">
      <formula>800</formula>
    </cfRule>
  </conditionalFormatting>
  <conditionalFormatting sqref="H33:H36">
    <cfRule type="cellIs" dxfId="43" priority="12" operator="lessThan">
      <formula>500</formula>
    </cfRule>
    <cfRule type="cellIs" dxfId="44" priority="13" operator="greaterThan">
      <formula>800</formula>
    </cfRule>
  </conditionalFormatting>
  <conditionalFormatting sqref="H37:H38 H41:H46">
    <cfRule type="cellIs" dxfId="45" priority="25" operator="lessThan">
      <formula>200</formula>
    </cfRule>
    <cfRule type="cellIs" dxfId="46" priority="26" operator="greaterThan">
      <formula>600</formula>
    </cfRule>
  </conditionalFormatting>
  <conditionalFormatting sqref="H39:H40">
    <cfRule type="cellIs" dxfId="47" priority="5" operator="lessThan">
      <formula>500</formula>
    </cfRule>
    <cfRule type="cellIs" dxfId="48" priority="6" operator="greaterThan">
      <formula>800</formula>
    </cfRule>
  </conditionalFormatting>
  <conditionalFormatting sqref="J5:J46">
    <cfRule type="cellIs" dxfId="49" priority="1" operator="greaterThan">
      <formula>4</formula>
    </cfRule>
    <cfRule type="cellIs" dxfId="50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9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2026-09-25T18:42:35Z</cp:lastPrinted>
  <dcterms:created xsi:type="dcterms:W3CDTF">2014-09-02T11:57:04Z</dcterms:created>
  <dcterms:modified xsi:type="dcterms:W3CDTF">2026-09-25T18:44:54Z</dcterms:modified>
</cp:coreProperties>
</file>