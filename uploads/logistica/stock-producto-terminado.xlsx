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Sistema'!$A1:$J46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<sst xmlns="http://schemas.openxmlformats.org/spreadsheetml/2006/main" count="131" uniqueCount="94">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</sst>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8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4" borderId="14" xfId="0" applyNumberFormat="1" applyFont="1" applyFill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2" fillId="4" borderId="14" xfId="0" applyNumberFormat="1" applyFont="1" applyFill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8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A18" sqref="A18"/>
    </sheetView>
  </sheetViews>
  <sheetFormatPr defaultRowHeight="15" outlineLevelRow="0" outlineLevelCol="0" x14ac:dyDescent="0.25"/>
  <cols>
    <col min="1" max="1" width="17.140625" customWidth="1"/>
    <col min="2" max="2" width="51.42578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46281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14363+20720+22560</f>
        <v>57643</v>
      </c>
      <c r="F5" s="24"/>
      <c r="G5" s="24" t="s">
        <v>16</v>
      </c>
      <c r="H5" s="25">
        <f>+E5/C5</f>
        <v>720.5375</v>
      </c>
      <c r="I5" s="26">
        <v>804</v>
      </c>
      <c r="J5" s="27">
        <f>IFERROR(ROUND((+H5/I5),1),0)</f>
        <v>0.9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83-2+6480</f>
        <v>6561</v>
      </c>
      <c r="F6" s="34"/>
      <c r="G6" s="34" t="s">
        <v>16</v>
      </c>
      <c r="H6" s="35">
        <f>+E6/C6</f>
        <v>82.0125</v>
      </c>
      <c r="I6" s="36">
        <v>111</v>
      </c>
      <c r="J6" s="37">
        <f>IFERROR(ROUND((+H6/I6),1),0)</f>
        <v>0.7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5">
        <v>247</v>
      </c>
      <c r="F7" s="34"/>
      <c r="G7" s="34" t="s">
        <v>16</v>
      </c>
      <c r="H7" s="35">
        <f>+E7/C7</f>
        <v>3.0875</v>
      </c>
      <c r="I7" s="36">
        <v>240</v>
      </c>
      <c r="J7" s="37">
        <f>IFERROR(ROUND((+H7/I7),1),0)</f>
        <v>0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5">
        <f>34296+4226</f>
        <v>38522</v>
      </c>
      <c r="F8" s="34"/>
      <c r="G8" s="34" t="s">
        <v>16</v>
      </c>
      <c r="H8" s="35">
        <f>+E8/C8</f>
        <v>481.525</v>
      </c>
      <c r="I8" s="36">
        <v>83</v>
      </c>
      <c r="J8" s="37">
        <f>IFERROR(ROUND((+H8/I8),1),0)</f>
        <v>5.8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5">
        <v>0</v>
      </c>
      <c r="F9" s="34"/>
      <c r="G9" s="34" t="s">
        <v>16</v>
      </c>
      <c r="H9" s="35">
        <f>+E9/C9</f>
        <v>0</v>
      </c>
      <c r="I9" s="36">
        <v>86</v>
      </c>
      <c r="J9" s="37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5">
        <f>43747+11760</f>
        <v>55507</v>
      </c>
      <c r="F10" s="34"/>
      <c r="G10" s="34" t="s">
        <v>16</v>
      </c>
      <c r="H10" s="35">
        <f>+E10/C10</f>
        <v>693.8375</v>
      </c>
      <c r="I10" s="36">
        <v>261</v>
      </c>
      <c r="J10" s="37">
        <f>IFERROR(ROUND((+H10/I10),1),0)</f>
        <v>2.7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5">
        <v>5593</v>
      </c>
      <c r="F11" s="34"/>
      <c r="G11" s="34" t="s">
        <v>16</v>
      </c>
      <c r="H11" s="35">
        <f>+E11/C11</f>
        <v>69.9125</v>
      </c>
      <c r="I11" s="36">
        <v>6</v>
      </c>
      <c r="J11" s="37">
        <f>IFERROR(ROUND((+H11/I11),1),0)</f>
        <v>11.7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33">
        <f>6532-1</f>
        <v>6531</v>
      </c>
      <c r="F12" s="32"/>
      <c r="G12" s="32" t="s">
        <v>31</v>
      </c>
      <c r="H12" s="35">
        <f>+E12/C12</f>
        <v>81.6375</v>
      </c>
      <c r="I12" s="36">
        <v>60</v>
      </c>
      <c r="J12" s="37">
        <f>IFERROR(ROUND((+H12/I12),1),0)</f>
        <v>1.4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5">
        <v>46</v>
      </c>
      <c r="F13" s="32"/>
      <c r="G13" s="32" t="s">
        <v>31</v>
      </c>
      <c r="H13" s="35">
        <f>+E13/C13</f>
        <v>0.575</v>
      </c>
      <c r="I13" s="36">
        <v>6</v>
      </c>
      <c r="J13" s="37">
        <f>IFERROR(ROUND((+H13/I13),1),0)</f>
        <v>0.1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v>2551</v>
      </c>
      <c r="F14" s="44"/>
      <c r="G14" s="44" t="s">
        <v>31</v>
      </c>
      <c r="H14" s="23">
        <f>+E14/C14</f>
        <v>32.705128205128204</v>
      </c>
      <c r="I14" s="45">
        <v>118</v>
      </c>
      <c r="J14" s="46">
        <f>IFERROR(ROUND((+H14/I14),1),0)</f>
        <v>0.3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35">
        <v>10909</v>
      </c>
      <c r="F15" s="34"/>
      <c r="G15" s="34" t="s">
        <v>31</v>
      </c>
      <c r="H15" s="35">
        <f>+E15/C15</f>
        <v>139.85897435897436</v>
      </c>
      <c r="I15" s="36">
        <v>14</v>
      </c>
      <c r="J15" s="37">
        <f>IFERROR(ROUND((+H15/I15),1),0)</f>
        <v>10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5">
        <f>7113+8658</f>
        <v>15771</v>
      </c>
      <c r="F16" s="34"/>
      <c r="G16" s="34" t="s">
        <v>31</v>
      </c>
      <c r="H16" s="35">
        <f>+E16/C16</f>
        <v>202.19230769230768</v>
      </c>
      <c r="I16" s="36">
        <v>49</v>
      </c>
      <c r="J16" s="37">
        <f>IFERROR(ROUND((+H16/I16),1),0)</f>
        <v>4.1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5">
        <v>22972</v>
      </c>
      <c r="F17" s="34"/>
      <c r="G17" s="34" t="s">
        <v>31</v>
      </c>
      <c r="H17" s="35">
        <f>+E17/C17</f>
        <v>294.5128205128205</v>
      </c>
      <c r="I17" s="36">
        <v>45</v>
      </c>
      <c r="J17" s="37">
        <f>IFERROR(ROUND((+H17/I17),1),0)</f>
        <v>6.5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5">
        <f>10838+2280</f>
        <v>13118</v>
      </c>
      <c r="F18" s="34"/>
      <c r="G18" s="32" t="s">
        <v>31</v>
      </c>
      <c r="H18" s="35">
        <f>+E18/C18</f>
        <v>168.17948717948718</v>
      </c>
      <c r="I18" s="36">
        <v>7</v>
      </c>
      <c r="J18" s="37">
        <f>IFERROR(ROUND((+H18/I18),1),0)</f>
        <v>24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5">
        <v>1</v>
      </c>
      <c r="F19" s="34"/>
      <c r="G19" s="32" t="s">
        <v>31</v>
      </c>
      <c r="H19" s="35">
        <f>+E19/C19</f>
        <v>0.01282051282051282</v>
      </c>
      <c r="I19" s="36">
        <v>8</v>
      </c>
      <c r="J19" s="37">
        <f>IFERROR(ROUND((+H19/I19),1),0)</f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7">
        <f>1901+5</f>
        <v>1906</v>
      </c>
      <c r="F20" s="34"/>
      <c r="G20" s="32" t="s">
        <v>31</v>
      </c>
      <c r="H20" s="35">
        <f>+E20/C20</f>
        <v>24.435897435897434</v>
      </c>
      <c r="I20" s="36">
        <v>9</v>
      </c>
      <c r="J20" s="37">
        <f>IFERROR(ROUND((+H20/I20),1),0)</f>
        <v>2.7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v>335</v>
      </c>
      <c r="F21" s="43"/>
      <c r="G21" s="43" t="s">
        <v>31</v>
      </c>
      <c r="H21" s="23">
        <f>+E21/C21</f>
        <v>2.09375</v>
      </c>
      <c r="I21" s="45">
        <v>46</v>
      </c>
      <c r="J21" s="46">
        <f>IFERROR(ROUND((+H21/I21),1),0)</f>
        <v>0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5">
        <v>2548</v>
      </c>
      <c r="F22" s="32"/>
      <c r="G22" s="32" t="s">
        <v>31</v>
      </c>
      <c r="H22" s="35">
        <f>+E22/C22</f>
        <v>15.925</v>
      </c>
      <c r="I22" s="36">
        <v>6</v>
      </c>
      <c r="J22" s="37">
        <f>IFERROR(ROUND((+H22/I22),1),0)</f>
        <v>2.7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5">
        <v>6479</v>
      </c>
      <c r="F23" s="32"/>
      <c r="G23" s="32" t="s">
        <v>31</v>
      </c>
      <c r="H23" s="35">
        <f>+E23/C23</f>
        <v>40.49375</v>
      </c>
      <c r="I23" s="36">
        <v>20</v>
      </c>
      <c r="J23" s="37">
        <f>IFERROR(ROUND((+H23/I23),1),0)</f>
        <v>2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5">
        <f>18997+10400</f>
        <v>29397</v>
      </c>
      <c r="F24" s="32"/>
      <c r="G24" s="48" t="s">
        <v>31</v>
      </c>
      <c r="H24" s="35">
        <f>+E24/C24</f>
        <v>183.73125</v>
      </c>
      <c r="I24" s="36">
        <v>20</v>
      </c>
      <c r="J24" s="37">
        <f>IFERROR(ROUND((+H24/I24),1),0)</f>
        <v>9.2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5">
        <v>5150</v>
      </c>
      <c r="F25" s="32"/>
      <c r="G25" s="32" t="s">
        <v>31</v>
      </c>
      <c r="H25" s="35">
        <f>+E25/C25</f>
        <v>32.1875</v>
      </c>
      <c r="I25" s="36">
        <v>4</v>
      </c>
      <c r="J25" s="37">
        <f>IFERROR(ROUND((+H25/I25),1),0)</f>
        <v>8</v>
      </c>
      <c r="L25" s="28"/>
    </row>
    <row r="26" ht="27.95" customHeight="1" spans="1:10" x14ac:dyDescent="0.25">
      <c r="A26" s="49" t="s">
        <v>58</v>
      </c>
      <c r="B26" s="50" t="s">
        <v>59</v>
      </c>
      <c r="C26" s="51">
        <v>50</v>
      </c>
      <c r="D26" s="52"/>
      <c r="E26" s="53">
        <v>38916</v>
      </c>
      <c r="F26" s="52"/>
      <c r="G26" s="44" t="s">
        <v>16</v>
      </c>
      <c r="H26" s="23">
        <f>+E26/C26</f>
        <v>778.32</v>
      </c>
      <c r="I26" s="45">
        <v>108</v>
      </c>
      <c r="J26" s="46">
        <f>IFERROR(ROUND((+H26/I26),1),0)</f>
        <v>7.2</v>
      </c>
    </row>
    <row r="27" ht="27.95" customHeight="1" spans="1:10" x14ac:dyDescent="0.25">
      <c r="A27" s="54" t="s">
        <v>60</v>
      </c>
      <c r="B27" s="55" t="s">
        <v>61</v>
      </c>
      <c r="C27" s="56">
        <v>50</v>
      </c>
      <c r="D27" s="57"/>
      <c r="E27" s="35">
        <f>32679+6434</f>
        <v>39113</v>
      </c>
      <c r="F27" s="57"/>
      <c r="G27" s="34" t="s">
        <v>16</v>
      </c>
      <c r="H27" s="35">
        <f>+E27/C27</f>
        <v>782.26</v>
      </c>
      <c r="I27" s="36">
        <v>130</v>
      </c>
      <c r="J27" s="37">
        <f>IFERROR(ROUND((+H27/I27),1),0)</f>
        <v>6</v>
      </c>
    </row>
    <row r="28" ht="27.95" customHeight="1" spans="1:10" x14ac:dyDescent="0.25">
      <c r="A28" s="54" t="s">
        <v>62</v>
      </c>
      <c r="B28" s="55" t="s">
        <v>63</v>
      </c>
      <c r="C28" s="56">
        <v>50</v>
      </c>
      <c r="D28" s="57"/>
      <c r="E28" s="35">
        <v>108</v>
      </c>
      <c r="F28" s="57"/>
      <c r="G28" s="34" t="s">
        <v>16</v>
      </c>
      <c r="H28" s="35">
        <f>+E28/C28</f>
        <v>2.16</v>
      </c>
      <c r="I28" s="36">
        <v>46</v>
      </c>
      <c r="J28" s="37">
        <f>IFERROR(ROUND((+H28/I28),1),0)</f>
        <v>0</v>
      </c>
    </row>
    <row r="29" ht="27.95" customHeight="1" spans="1:10" x14ac:dyDescent="0.25">
      <c r="A29" s="54" t="s">
        <v>64</v>
      </c>
      <c r="B29" s="55" t="s">
        <v>65</v>
      </c>
      <c r="C29" s="56">
        <v>50</v>
      </c>
      <c r="D29" s="57"/>
      <c r="E29" s="35">
        <v>90</v>
      </c>
      <c r="F29" s="57"/>
      <c r="G29" s="34" t="s">
        <v>16</v>
      </c>
      <c r="H29" s="35">
        <f>+E29/C29</f>
        <v>1.8</v>
      </c>
      <c r="I29" s="36">
        <v>80</v>
      </c>
      <c r="J29" s="37">
        <f>IFERROR(ROUND((+H29/I29),1),0)</f>
        <v>0</v>
      </c>
    </row>
    <row r="30" ht="27.95" customHeight="1" spans="1:10" x14ac:dyDescent="0.25">
      <c r="A30" s="49" t="s">
        <v>66</v>
      </c>
      <c r="B30" s="50" t="s">
        <v>67</v>
      </c>
      <c r="C30" s="51">
        <v>160</v>
      </c>
      <c r="D30" s="52"/>
      <c r="E30" s="23">
        <v>4472</v>
      </c>
      <c r="F30" s="52"/>
      <c r="G30" s="44" t="s">
        <v>31</v>
      </c>
      <c r="H30" s="23">
        <f>+E30/C30</f>
        <v>27.95</v>
      </c>
      <c r="I30" s="45">
        <v>15</v>
      </c>
      <c r="J30" s="46">
        <f>IFERROR(ROUND((+H30/I30),1),0)</f>
        <v>1.9</v>
      </c>
    </row>
    <row r="31" ht="27.95" customHeight="1" spans="1:10" x14ac:dyDescent="0.25">
      <c r="A31" s="54" t="s">
        <v>68</v>
      </c>
      <c r="B31" s="55" t="s">
        <v>69</v>
      </c>
      <c r="C31" s="56">
        <v>160</v>
      </c>
      <c r="D31" s="57"/>
      <c r="E31" s="35">
        <v>12602</v>
      </c>
      <c r="F31" s="57"/>
      <c r="G31" s="34" t="s">
        <v>31</v>
      </c>
      <c r="H31" s="35">
        <f>+E31/C31</f>
        <v>78.7625</v>
      </c>
      <c r="I31" s="36">
        <v>24</v>
      </c>
      <c r="J31" s="37">
        <f>IFERROR(ROUND((+H31/I31),1),0)</f>
        <v>3.3</v>
      </c>
    </row>
    <row r="32" ht="27.95" customHeight="1" spans="1:10" x14ac:dyDescent="0.25">
      <c r="A32" s="54" t="s">
        <v>70</v>
      </c>
      <c r="B32" s="55" t="s">
        <v>71</v>
      </c>
      <c r="C32" s="56">
        <v>160</v>
      </c>
      <c r="D32" s="57"/>
      <c r="E32" s="35">
        <v>16536</v>
      </c>
      <c r="F32" s="57"/>
      <c r="G32" s="34" t="s">
        <v>31</v>
      </c>
      <c r="H32" s="35">
        <f>+E32/C32</f>
        <v>103.35</v>
      </c>
      <c r="I32" s="36">
        <v>21</v>
      </c>
      <c r="J32" s="37">
        <f>IFERROR(ROUND((+H32/I32),1),0)</f>
        <v>4.9</v>
      </c>
    </row>
    <row r="33" ht="27.95" customHeight="1" spans="1:10" x14ac:dyDescent="0.25">
      <c r="A33" s="54" t="s">
        <v>72</v>
      </c>
      <c r="B33" s="55" t="s">
        <v>73</v>
      </c>
      <c r="C33" s="56">
        <v>160</v>
      </c>
      <c r="D33" s="57"/>
      <c r="E33" s="35">
        <v>3612</v>
      </c>
      <c r="F33" s="57"/>
      <c r="G33" s="34" t="s">
        <v>31</v>
      </c>
      <c r="H33" s="35">
        <f>+E33/C33</f>
        <v>22.575</v>
      </c>
      <c r="I33" s="36">
        <v>15</v>
      </c>
      <c r="J33" s="37">
        <f>IFERROR(ROUND((+H33/I33),1),0)</f>
        <v>1.5</v>
      </c>
    </row>
    <row r="34" ht="27.95" customHeight="1" spans="1:10" x14ac:dyDescent="0.25">
      <c r="A34" s="49" t="s">
        <v>74</v>
      </c>
      <c r="B34" s="50" t="s">
        <v>75</v>
      </c>
      <c r="C34" s="51">
        <v>70</v>
      </c>
      <c r="D34" s="52"/>
      <c r="E34" s="23">
        <v>0</v>
      </c>
      <c r="F34" s="52"/>
      <c r="G34" s="44" t="s">
        <v>16</v>
      </c>
      <c r="H34" s="23">
        <f>+E34/C34</f>
        <v>0</v>
      </c>
      <c r="I34" s="45">
        <v>0</v>
      </c>
      <c r="J34" s="46">
        <f>IFERROR(ROUND((+H34/I34),1),0)</f>
        <v>0</v>
      </c>
    </row>
    <row r="35" ht="27.95" customHeight="1" spans="1:10" x14ac:dyDescent="0.25">
      <c r="A35" s="54" t="s">
        <v>76</v>
      </c>
      <c r="B35" s="55" t="s">
        <v>77</v>
      </c>
      <c r="C35" s="56">
        <v>50</v>
      </c>
      <c r="D35" s="57"/>
      <c r="E35" s="35">
        <v>0</v>
      </c>
      <c r="F35" s="57"/>
      <c r="G35" s="34" t="s">
        <v>16</v>
      </c>
      <c r="H35" s="35">
        <f>+E35/C35</f>
        <v>0</v>
      </c>
      <c r="I35" s="36">
        <v>1</v>
      </c>
      <c r="J35" s="37">
        <f>IFERROR(ROUND((+H35/I35),1),0)</f>
        <v>0</v>
      </c>
    </row>
    <row r="36" ht="27.95" customHeight="1" spans="1:10" x14ac:dyDescent="0.25">
      <c r="A36" s="54" t="s">
        <v>78</v>
      </c>
      <c r="B36" s="55" t="s">
        <v>79</v>
      </c>
      <c r="C36" s="56">
        <v>160</v>
      </c>
      <c r="D36" s="57"/>
      <c r="E36" s="35">
        <v>325</v>
      </c>
      <c r="F36" s="57"/>
      <c r="G36" s="34" t="s">
        <v>31</v>
      </c>
      <c r="H36" s="35">
        <f>+E36/C36</f>
        <v>2.03125</v>
      </c>
      <c r="I36" s="36">
        <v>1</v>
      </c>
      <c r="J36" s="37">
        <f>IFERROR(ROUND((+H36/I36),1),0)</f>
        <v>2</v>
      </c>
    </row>
    <row r="37" ht="27.95" customHeight="1" spans="1:10" x14ac:dyDescent="0.25">
      <c r="A37" s="54" t="s">
        <v>80</v>
      </c>
      <c r="B37" s="55" t="s">
        <v>81</v>
      </c>
      <c r="C37" s="56">
        <v>160</v>
      </c>
      <c r="D37" s="57"/>
      <c r="E37" s="35">
        <v>0</v>
      </c>
      <c r="F37" s="57"/>
      <c r="G37" s="34" t="s">
        <v>31</v>
      </c>
      <c r="H37" s="35">
        <f>+E37/C37</f>
        <v>0</v>
      </c>
      <c r="I37" s="36">
        <v>0</v>
      </c>
      <c r="J37" s="37">
        <f>IFERROR(ROUND((+H37/I37),1),0)</f>
        <v>0</v>
      </c>
    </row>
    <row r="38" ht="27.95" customHeight="1" spans="1:10" x14ac:dyDescent="0.25">
      <c r="A38" s="58" t="s">
        <v>82</v>
      </c>
      <c r="B38" s="59" t="s">
        <v>83</v>
      </c>
      <c r="C38" s="60">
        <v>84</v>
      </c>
      <c r="D38" s="61"/>
      <c r="E38" s="62">
        <f>2839-1</f>
        <v>2838</v>
      </c>
      <c r="F38" s="61"/>
      <c r="G38" s="63" t="s">
        <v>16</v>
      </c>
      <c r="H38" s="35">
        <f>+E38/C38</f>
        <v>33.785714285714285</v>
      </c>
      <c r="I38" s="36">
        <v>0</v>
      </c>
      <c r="J38" s="37">
        <f>IFERROR(ROUND((+H38/I38),1),0)</f>
        <v>0</v>
      </c>
    </row>
    <row r="39" ht="27.95" customHeight="1" spans="1:10" x14ac:dyDescent="0.25">
      <c r="A39" s="58" t="s">
        <v>84</v>
      </c>
      <c r="B39" s="59" t="s">
        <v>85</v>
      </c>
      <c r="C39" s="60">
        <v>50</v>
      </c>
      <c r="D39" s="61"/>
      <c r="E39" s="64">
        <v>1162</v>
      </c>
      <c r="F39" s="61"/>
      <c r="G39" s="63" t="s">
        <v>16</v>
      </c>
      <c r="H39" s="35">
        <f>+E39/C39</f>
        <v>23.24</v>
      </c>
      <c r="I39" s="36">
        <v>14</v>
      </c>
      <c r="J39" s="37">
        <f>IFERROR(ROUND((+H39/I39),1),0)</f>
        <v>1.7</v>
      </c>
    </row>
    <row r="40" ht="27.95" customHeight="1" spans="1:10" x14ac:dyDescent="0.25">
      <c r="A40" s="58" t="s">
        <v>86</v>
      </c>
      <c r="B40" s="59" t="s">
        <v>87</v>
      </c>
      <c r="C40" s="60">
        <v>136</v>
      </c>
      <c r="D40" s="61"/>
      <c r="E40" s="65">
        <f>10853+1</f>
        <v>10854</v>
      </c>
      <c r="F40" s="61"/>
      <c r="G40" s="63" t="s">
        <v>16</v>
      </c>
      <c r="H40" s="35">
        <f>+E40/C40</f>
        <v>79.80882352941177</v>
      </c>
      <c r="I40" s="36">
        <v>27</v>
      </c>
      <c r="J40" s="37">
        <f>IFERROR(ROUND((+H40/I40),1),0)</f>
        <v>3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5">
        <v>6508</v>
      </c>
      <c r="F41" s="69"/>
      <c r="G41" s="70" t="s">
        <v>16</v>
      </c>
      <c r="H41" s="71">
        <f>+E41/C41</f>
        <v>40.675</v>
      </c>
      <c r="I41" s="36">
        <v>2</v>
      </c>
      <c r="J41" s="37">
        <f>IFERROR(ROUND((+H41/I41),1),0)</f>
        <v>20.3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71">
        <v>2244</v>
      </c>
      <c r="F42" s="69"/>
      <c r="G42" s="70" t="s">
        <v>16</v>
      </c>
      <c r="H42" s="71">
        <f>+E42/C42</f>
        <v>14.025</v>
      </c>
      <c r="I42" s="36">
        <v>0</v>
      </c>
      <c r="J42" s="37">
        <f>IFERROR(ROUND((+H42/I42),1),0)</f>
        <v>0</v>
      </c>
    </row>
    <row r="43" ht="27.95" customHeight="1" spans="1:10" x14ac:dyDescent="0.25">
      <c r="A43" s="72" t="s">
        <v>92</v>
      </c>
      <c r="B43" s="73" t="s">
        <v>93</v>
      </c>
      <c r="C43" s="74">
        <v>160</v>
      </c>
      <c r="D43" s="75"/>
      <c r="E43" s="76">
        <v>0</v>
      </c>
      <c r="F43" s="75"/>
      <c r="G43" s="77" t="s">
        <v>16</v>
      </c>
      <c r="H43" s="78">
        <f>+E43/C43</f>
        <v>0</v>
      </c>
      <c r="I43" s="79">
        <v>0</v>
      </c>
      <c r="J43" s="80">
        <f>IFERROR(ROUND((+H43/I43),1),0)</f>
        <v>0</v>
      </c>
    </row>
    <row r="44" ht="3.95" customHeight="1" spans="1:8" x14ac:dyDescent="0.25">
      <c r="A44" s="81"/>
      <c r="B44" s="81"/>
      <c r="E44" s="28"/>
      <c r="F44" s="28"/>
      <c r="G44" s="28"/>
      <c r="H44" s="82"/>
    </row>
    <row r="45" ht="26.25" customHeight="1" spans="1:8" x14ac:dyDescent="0.25">
      <c r="A45" s="83"/>
      <c r="B45" s="83"/>
      <c r="C45" s="83"/>
      <c r="D45" s="83"/>
      <c r="E45" s="84">
        <f>SUM(E5:E44)</f>
        <v>421167</v>
      </c>
      <c r="F45" s="83"/>
      <c r="G45" s="83"/>
      <c r="H45" s="85">
        <f>SUM(H5:H44)</f>
        <v>5260.196973712562</v>
      </c>
    </row>
    <row r="46" ht="15" customHeight="1" spans="1:8" x14ac:dyDescent="0.25">
      <c r="A46" s="81"/>
      <c r="B46" s="81"/>
      <c r="E46" s="28"/>
      <c r="F46" s="28"/>
      <c r="G46" s="28"/>
      <c r="H46" s="82"/>
    </row>
    <row r="47" ht="21" customHeight="1" spans="1:8" x14ac:dyDescent="0.25">
      <c r="A47" s="81"/>
      <c r="B47" s="81"/>
      <c r="E47" s="28"/>
      <c r="F47" s="28"/>
      <c r="G47" s="28"/>
      <c r="H47" s="82"/>
    </row>
    <row r="48" ht="21" customHeight="1" spans="5:8" x14ac:dyDescent="0.25">
      <c r="E48" s="28"/>
      <c r="F48" s="28"/>
      <c r="G48" s="28"/>
      <c r="H48" s="82"/>
    </row>
    <row r="49" ht="21" customHeight="1" spans="5:8" x14ac:dyDescent="0.25">
      <c r="E49" s="28"/>
      <c r="F49" s="28"/>
      <c r="G49" s="28"/>
      <c r="H49" s="82"/>
    </row>
    <row r="50" ht="21" customHeight="1" spans="5:8" x14ac:dyDescent="0.25">
      <c r="E50" s="28"/>
      <c r="F50" s="28"/>
      <c r="G50" s="28"/>
      <c r="H50" s="82"/>
    </row>
    <row r="51" ht="21" customHeight="1" spans="5:8" x14ac:dyDescent="0.25">
      <c r="E51" s="28"/>
      <c r="F51" s="28"/>
      <c r="G51" s="28"/>
      <c r="H51" s="82"/>
    </row>
    <row r="52" ht="21" customHeight="1" spans="5:8" x14ac:dyDescent="0.25">
      <c r="E52" s="28"/>
      <c r="F52" s="28"/>
      <c r="G52" s="28"/>
      <c r="H52" s="82"/>
    </row>
    <row r="53" ht="21" customHeight="1" spans="5:8" x14ac:dyDescent="0.25">
      <c r="E53" s="28"/>
      <c r="F53" s="28"/>
      <c r="G53" s="28"/>
      <c r="H53" s="82"/>
    </row>
    <row r="54" ht="21" customHeight="1" spans="5:8" x14ac:dyDescent="0.25">
      <c r="E54" s="28"/>
      <c r="F54" s="28"/>
      <c r="G54" s="28"/>
      <c r="H54" s="82"/>
    </row>
    <row r="55" ht="21" customHeight="1" spans="5:8" x14ac:dyDescent="0.25">
      <c r="E55" s="28"/>
      <c r="F55" s="28"/>
      <c r="G55" s="28"/>
      <c r="H55" s="82"/>
    </row>
    <row r="56" ht="21" customHeight="1" spans="5:8" x14ac:dyDescent="0.25">
      <c r="E56" s="28"/>
      <c r="F56" s="28"/>
      <c r="G56" s="28"/>
      <c r="H56" s="82"/>
    </row>
    <row r="57" ht="21" customHeight="1" spans="5:8" x14ac:dyDescent="0.25">
      <c r="E57" s="86"/>
      <c r="F57" s="28"/>
      <c r="G57" s="28"/>
      <c r="H57" s="82"/>
    </row>
    <row r="58" ht="21" customHeight="1" spans="5:8" x14ac:dyDescent="0.25">
      <c r="E58" s="28"/>
      <c r="F58" s="28"/>
      <c r="G58" s="28"/>
      <c r="H58" s="82"/>
    </row>
    <row r="59" ht="21" customHeight="1" spans="5:8" x14ac:dyDescent="0.25">
      <c r="E59" s="86"/>
      <c r="F59" s="28"/>
      <c r="G59" s="28"/>
      <c r="H59" s="82"/>
    </row>
    <row r="60" ht="21" customHeight="1" spans="5:8" x14ac:dyDescent="0.25">
      <c r="E60" s="28"/>
      <c r="F60" s="28"/>
      <c r="G60" s="28"/>
      <c r="H60" s="82"/>
    </row>
    <row r="61" ht="21" customHeight="1" spans="5:8" x14ac:dyDescent="0.25">
      <c r="E61" s="86"/>
      <c r="F61" s="28"/>
      <c r="G61" s="28"/>
      <c r="H61" s="82"/>
    </row>
    <row r="62" ht="21" customHeight="1" spans="5:8" x14ac:dyDescent="0.25">
      <c r="E62" s="28"/>
      <c r="F62" s="28"/>
      <c r="G62" s="28"/>
      <c r="H62" s="82"/>
    </row>
    <row r="63" ht="21" customHeight="1" spans="5:8" x14ac:dyDescent="0.25">
      <c r="E63" s="86"/>
      <c r="F63" s="28"/>
      <c r="G63" s="28"/>
      <c r="H63" s="82"/>
    </row>
    <row r="64" ht="21" customHeight="1" spans="5:8" x14ac:dyDescent="0.25">
      <c r="E64" s="86"/>
      <c r="F64" s="28"/>
      <c r="G64" s="28"/>
      <c r="H64" s="82"/>
    </row>
    <row r="65" ht="21" customHeight="1" spans="5:8" x14ac:dyDescent="0.25">
      <c r="E65" s="86"/>
      <c r="H65" s="82"/>
    </row>
    <row r="66" ht="21" customHeight="1" spans="5:8" x14ac:dyDescent="0.25">
      <c r="E66" s="86"/>
      <c r="H66" s="82"/>
    </row>
    <row r="67" ht="21" customHeight="1" spans="5:8" x14ac:dyDescent="0.25">
      <c r="E67" s="86"/>
      <c r="H67" s="82"/>
    </row>
    <row r="68" ht="21" customHeight="1" spans="5:8" x14ac:dyDescent="0.25">
      <c r="E68" s="86"/>
      <c r="H68" s="82"/>
    </row>
    <row r="69" ht="21" customHeight="1" spans="5:8" x14ac:dyDescent="0.25">
      <c r="E69" s="86"/>
      <c r="H69" s="82"/>
    </row>
    <row r="70" ht="21" customHeight="1" spans="5:8" x14ac:dyDescent="0.25">
      <c r="E70" s="86"/>
      <c r="H70" s="82"/>
    </row>
    <row r="72" spans="5:5" x14ac:dyDescent="0.25">
      <c r="E72" s="28"/>
    </row>
    <row r="75" spans="7:7" x14ac:dyDescent="0.25">
      <c r="G75" s="87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6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2026-09-16T11:58:50Z</cp:lastPrinted>
  <dcterms:created xsi:type="dcterms:W3CDTF">2014-09-02T11:57:04Z</dcterms:created>
  <dcterms:modified xsi:type="dcterms:W3CDTF">2026-09-16T11:58:50Z</dcterms:modified>
</cp:coreProperties>
</file>