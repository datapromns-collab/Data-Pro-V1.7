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<sst xmlns="http://schemas.openxmlformats.org/spreadsheetml/2006/main" count="660" uniqueCount="277">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</sst>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S7" sqref="S7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46308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0.3333333333321207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132808</v>
      </c>
      <c r="F5" s="24"/>
      <c r="G5" s="24" t="s">
        <v>16</v>
      </c>
      <c r="H5" s="25">
        <f>+E5/C5</f>
        <v>1660.1</v>
      </c>
      <c r="I5" s="26">
        <v>804</v>
      </c>
      <c r="J5" s="27">
        <f t="shared" ref="J5:J43" si="0">IFERROR(ROUND((+H5/I5),1),0)</f>
        <v>2.1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51465</v>
      </c>
      <c r="F6" s="34"/>
      <c r="G6" s="34" t="s">
        <v>16</v>
      </c>
      <c r="H6" s="33">
        <f t="shared" ref="H6:H41" si="1">+E6/C6</f>
        <v>643.3125</v>
      </c>
      <c r="I6" s="35">
        <v>111</v>
      </c>
      <c r="J6" s="36">
        <f t="shared" si="0"/>
        <v>5.8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22608</v>
      </c>
      <c r="F7" s="34"/>
      <c r="G7" s="34" t="s">
        <v>16</v>
      </c>
      <c r="H7" s="33">
        <f t="shared" si="1"/>
        <v>282.6</v>
      </c>
      <c r="I7" s="35">
        <v>240</v>
      </c>
      <c r="J7" s="36">
        <f t="shared" si="0"/>
        <v>1.2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193</v>
      </c>
      <c r="F8" s="34"/>
      <c r="G8" s="34" t="s">
        <v>16</v>
      </c>
      <c r="H8" s="33">
        <f t="shared" si="1"/>
        <v>2.4125</v>
      </c>
      <c r="I8" s="35">
        <v>83</v>
      </c>
      <c r="J8" s="36">
        <f t="shared" si="0"/>
        <v>0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34750</v>
      </c>
      <c r="F10" s="34"/>
      <c r="G10" s="34" t="s">
        <v>16</v>
      </c>
      <c r="H10" s="33">
        <f t="shared" si="1"/>
        <v>434.375</v>
      </c>
      <c r="I10" s="35">
        <v>261</v>
      </c>
      <c r="J10" s="36">
        <f t="shared" si="0"/>
        <v>1.7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7018</v>
      </c>
      <c r="F11" s="34"/>
      <c r="G11" s="34" t="s">
        <v>16</v>
      </c>
      <c r="H11" s="33">
        <f t="shared" si="1"/>
        <v>87.725</v>
      </c>
      <c r="I11" s="35">
        <v>6</v>
      </c>
      <c r="J11" s="36">
        <f t="shared" si="0"/>
        <v>14.6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29174</v>
      </c>
      <c r="F12" s="32"/>
      <c r="G12" s="32" t="s">
        <v>31</v>
      </c>
      <c r="H12" s="33">
        <f t="shared" si="1"/>
        <v>364.675</v>
      </c>
      <c r="I12" s="35">
        <v>60</v>
      </c>
      <c r="J12" s="36">
        <f t="shared" si="0"/>
        <v>6.1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6163</v>
      </c>
      <c r="F13" s="32"/>
      <c r="G13" s="32" t="s">
        <v>31</v>
      </c>
      <c r="H13" s="33">
        <f t="shared" si="1"/>
        <v>77.0375</v>
      </c>
      <c r="I13" s="35">
        <v>6</v>
      </c>
      <c r="J13" s="36">
        <f t="shared" si="0"/>
        <v>12.8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34504</v>
      </c>
      <c r="F14" s="45"/>
      <c r="G14" s="45" t="s">
        <v>31</v>
      </c>
      <c r="H14" s="23">
        <f t="shared" si="1"/>
        <v>442.35897435897436</v>
      </c>
      <c r="I14" s="46">
        <v>118</v>
      </c>
      <c r="J14" s="47">
        <f t="shared" si="0"/>
        <v>3.7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1218</v>
      </c>
      <c r="F15" s="34"/>
      <c r="G15" s="34" t="s">
        <v>31</v>
      </c>
      <c r="H15" s="33">
        <f t="shared" si="1"/>
        <v>15.615384615384615</v>
      </c>
      <c r="I15" s="35">
        <v>14</v>
      </c>
      <c r="J15" s="36">
        <f t="shared" si="0"/>
        <v>1.1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16912</v>
      </c>
      <c r="F16" s="34"/>
      <c r="G16" s="34" t="s">
        <v>31</v>
      </c>
      <c r="H16" s="33">
        <f t="shared" si="1"/>
        <v>216.82051282051282</v>
      </c>
      <c r="I16" s="35">
        <v>49</v>
      </c>
      <c r="J16" s="36">
        <f t="shared" si="0"/>
        <v>4.4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1</v>
      </c>
      <c r="F17" s="34"/>
      <c r="G17" s="34" t="s">
        <v>31</v>
      </c>
      <c r="H17" s="33">
        <f t="shared" si="1"/>
        <v>0.01282051282051282</v>
      </c>
      <c r="I17" s="35">
        <v>45</v>
      </c>
      <c r="J17" s="36">
        <f t="shared" si="0"/>
        <v>0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13158</v>
      </c>
      <c r="F18" s="34"/>
      <c r="G18" s="32" t="s">
        <v>31</v>
      </c>
      <c r="H18" s="33">
        <f t="shared" si="1"/>
        <v>168.69230769230768</v>
      </c>
      <c r="I18" s="35">
        <v>7</v>
      </c>
      <c r="J18" s="36">
        <f t="shared" si="0"/>
        <v>24.1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4</v>
      </c>
      <c r="F20" s="34"/>
      <c r="G20" s="32" t="s">
        <v>31</v>
      </c>
      <c r="H20" s="33">
        <f t="shared" si="1"/>
        <v>0.05128205128205128</v>
      </c>
      <c r="I20" s="35">
        <v>9</v>
      </c>
      <c r="J20" s="36">
        <f t="shared" si="0"/>
        <v>0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23157</v>
      </c>
      <c r="F21" s="44"/>
      <c r="G21" s="44" t="s">
        <v>31</v>
      </c>
      <c r="H21" s="23">
        <f t="shared" si="1"/>
        <v>144.73125</v>
      </c>
      <c r="I21" s="46">
        <v>46</v>
      </c>
      <c r="J21" s="47">
        <f t="shared" si="0"/>
        <v>3.1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5533</v>
      </c>
      <c r="F22" s="32"/>
      <c r="G22" s="32" t="s">
        <v>31</v>
      </c>
      <c r="H22" s="33">
        <f t="shared" si="1"/>
        <v>34.58125</v>
      </c>
      <c r="I22" s="35">
        <v>6</v>
      </c>
      <c r="J22" s="36">
        <f t="shared" si="0"/>
        <v>5.8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16455</v>
      </c>
      <c r="F23" s="32"/>
      <c r="G23" s="32" t="s">
        <v>31</v>
      </c>
      <c r="H23" s="33">
        <f t="shared" si="1"/>
        <v>102.84375</v>
      </c>
      <c r="I23" s="35">
        <v>20</v>
      </c>
      <c r="J23" s="36">
        <f t="shared" si="0"/>
        <v>5.1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9959</v>
      </c>
      <c r="F24" s="32"/>
      <c r="G24" s="49" t="s">
        <v>31</v>
      </c>
      <c r="H24" s="33">
        <f t="shared" si="1"/>
        <v>62.24375</v>
      </c>
      <c r="I24" s="35">
        <v>20</v>
      </c>
      <c r="J24" s="36">
        <f t="shared" si="0"/>
        <v>3.1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7543</v>
      </c>
      <c r="F25" s="32"/>
      <c r="G25" s="32" t="s">
        <v>31</v>
      </c>
      <c r="H25" s="33">
        <f t="shared" si="1"/>
        <v>47.14375</v>
      </c>
      <c r="I25" s="35">
        <v>4</v>
      </c>
      <c r="J25" s="36">
        <f t="shared" si="0"/>
        <v>11.8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20564</v>
      </c>
      <c r="F26" s="53"/>
      <c r="G26" s="45" t="s">
        <v>16</v>
      </c>
      <c r="H26" s="23">
        <f t="shared" si="1"/>
        <v>411.28</v>
      </c>
      <c r="I26" s="46">
        <v>108</v>
      </c>
      <c r="J26" s="47">
        <f t="shared" si="0"/>
        <v>3.8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26444</v>
      </c>
      <c r="F27" s="58"/>
      <c r="G27" s="34" t="s">
        <v>16</v>
      </c>
      <c r="H27" s="33">
        <f t="shared" si="1"/>
        <v>528.88</v>
      </c>
      <c r="I27" s="35">
        <v>130</v>
      </c>
      <c r="J27" s="36">
        <f t="shared" si="0"/>
        <v>4.1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7260</v>
      </c>
      <c r="F28" s="58"/>
      <c r="G28" s="34" t="s">
        <v>16</v>
      </c>
      <c r="H28" s="33">
        <f t="shared" si="1"/>
        <v>145.2</v>
      </c>
      <c r="I28" s="35">
        <v>46</v>
      </c>
      <c r="J28" s="36">
        <f t="shared" si="0"/>
        <v>3.2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10833</v>
      </c>
      <c r="F29" s="58"/>
      <c r="G29" s="34" t="s">
        <v>16</v>
      </c>
      <c r="H29" s="33">
        <f t="shared" si="1"/>
        <v>216.66</v>
      </c>
      <c r="I29" s="35">
        <v>80</v>
      </c>
      <c r="J29" s="36">
        <f t="shared" si="0"/>
        <v>2.7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24388</v>
      </c>
      <c r="F30" s="53"/>
      <c r="G30" s="45" t="s">
        <v>31</v>
      </c>
      <c r="H30" s="23">
        <f t="shared" si="1"/>
        <v>152.425</v>
      </c>
      <c r="I30" s="46">
        <v>15</v>
      </c>
      <c r="J30" s="47">
        <f t="shared" si="0"/>
        <v>10.2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34772</v>
      </c>
      <c r="F31" s="58"/>
      <c r="G31" s="34" t="s">
        <v>31</v>
      </c>
      <c r="H31" s="33">
        <f t="shared" si="1"/>
        <v>217.325</v>
      </c>
      <c r="I31" s="35">
        <v>24</v>
      </c>
      <c r="J31" s="36">
        <f t="shared" si="0"/>
        <v>9.1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18287</v>
      </c>
      <c r="F32" s="58"/>
      <c r="G32" s="34" t="s">
        <v>31</v>
      </c>
      <c r="H32" s="33">
        <f t="shared" si="1"/>
        <v>114.29375</v>
      </c>
      <c r="I32" s="35">
        <v>21</v>
      </c>
      <c r="J32" s="36">
        <f t="shared" si="0"/>
        <v>5.4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39687</v>
      </c>
      <c r="F33" s="58"/>
      <c r="G33" s="34" t="s">
        <v>31</v>
      </c>
      <c r="H33" s="33">
        <f t="shared" si="1"/>
        <v>248.04375</v>
      </c>
      <c r="I33" s="35">
        <v>15</v>
      </c>
      <c r="J33" s="36">
        <f t="shared" si="0"/>
        <v>16.5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81</v>
      </c>
      <c r="F36" s="58"/>
      <c r="G36" s="34" t="s">
        <v>31</v>
      </c>
      <c r="H36" s="33">
        <f t="shared" si="1"/>
        <v>0.50625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4608</v>
      </c>
      <c r="F38" s="62"/>
      <c r="G38" s="64" t="s">
        <v>16</v>
      </c>
      <c r="H38" s="33">
        <f t="shared" si="1"/>
        <v>54.857142857142854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13752</v>
      </c>
      <c r="F39" s="62"/>
      <c r="G39" s="64" t="s">
        <v>16</v>
      </c>
      <c r="H39" s="33">
        <f t="shared" si="1"/>
        <v>275.04</v>
      </c>
      <c r="I39" s="35">
        <v>14</v>
      </c>
      <c r="J39" s="36">
        <f t="shared" si="0"/>
        <v>19.6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32957</v>
      </c>
      <c r="F40" s="62"/>
      <c r="G40" s="64" t="s">
        <v>16</v>
      </c>
      <c r="H40" s="33">
        <f t="shared" si="1"/>
        <v>242.3308823529412</v>
      </c>
      <c r="I40" s="35">
        <v>27</v>
      </c>
      <c r="J40" s="36">
        <f t="shared" si="0"/>
        <v>9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12126</v>
      </c>
      <c r="F41" s="69"/>
      <c r="G41" s="70" t="s">
        <v>16</v>
      </c>
      <c r="H41" s="48">
        <f t="shared" si="1"/>
        <v>75.7875</v>
      </c>
      <c r="I41" s="35">
        <v>2</v>
      </c>
      <c r="J41" s="36">
        <f t="shared" si="0"/>
        <v>37.9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3226</v>
      </c>
      <c r="F42" s="69"/>
      <c r="G42" s="70" t="s">
        <v>16</v>
      </c>
      <c r="H42" s="48">
        <f>+E42/C42</f>
        <v>20.1625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661609</v>
      </c>
      <c r="F45" s="82"/>
      <c r="G45" s="82"/>
      <c r="H45" s="84">
        <f>SUM(H5:H44)</f>
        <v>7490.137127774186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36" sqref="J36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46307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40">
        <f>85209-1+22320+25280</f>
        <v>132808</v>
      </c>
      <c r="K24" s="24"/>
      <c r="L24" s="24" t="s">
        <v>16</v>
      </c>
      <c r="M24" s="109">
        <f t="shared" si="1"/>
        <v>132808</v>
      </c>
      <c r="N24" s="110">
        <f t="shared" si="4"/>
        <v>0</v>
      </c>
      <c r="O24" s="111">
        <f>51208-J24</f>
        <v>-81600</v>
      </c>
      <c r="P24" s="111">
        <f>J24-IFERROR(VLOOKUP(A24,$R$26:$U$119,4,FALSE),0)+19600</f>
        <v>152408</v>
      </c>
      <c r="Q24" s="25">
        <f>+J24/H24</f>
        <v>1660.1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2.1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f>36985+14480</f>
        <v>51465</v>
      </c>
      <c r="K25" s="34"/>
      <c r="L25" s="34" t="s">
        <v>16</v>
      </c>
      <c r="M25" s="115">
        <f t="shared" si="1"/>
        <v>51465</v>
      </c>
      <c r="N25" s="116">
        <f t="shared" si="4"/>
        <v>0</v>
      </c>
      <c r="O25" s="117">
        <f>204-J25</f>
        <v>-51261</v>
      </c>
      <c r="P25" s="118">
        <f>J25-IFERROR(VLOOKUP(A25,$R$26:$U$119,4,FALSE),0)+0</f>
        <v>51465</v>
      </c>
      <c r="Q25" s="33">
        <f t="shared" ref="Q25:Q88" si="5">+J25/H25</f>
        <v>643.3125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5.8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v>22608</v>
      </c>
      <c r="K26" s="34"/>
      <c r="L26" s="34" t="s">
        <v>16</v>
      </c>
      <c r="M26" s="115">
        <f t="shared" si="1"/>
        <v>-808</v>
      </c>
      <c r="N26" s="116">
        <f t="shared" si="4"/>
        <v>23416</v>
      </c>
      <c r="O26" s="117">
        <f>8449-J26</f>
        <v>-14159</v>
      </c>
      <c r="P26" s="118">
        <f>J26-IFERROR(VLOOKUP(A26,$R$26:$U$119,4,FALSE),0)+5120</f>
        <v>4312</v>
      </c>
      <c r="Q26" s="33">
        <f t="shared" si="5"/>
        <v>282.6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1.2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193</v>
      </c>
      <c r="K27" s="34"/>
      <c r="L27" s="34" t="s">
        <v>16</v>
      </c>
      <c r="M27" s="115">
        <f t="shared" si="1"/>
        <v>190</v>
      </c>
      <c r="N27" s="116">
        <f t="shared" si="4"/>
        <v>3</v>
      </c>
      <c r="O27" s="117">
        <f>5605-J27</f>
        <v>5412</v>
      </c>
      <c r="P27" s="118">
        <f>J27-IFERROR(VLOOKUP(A27,$R$26:$U$119,4,FALSE),0)+4720+0</f>
        <v>4910</v>
      </c>
      <c r="Q27" s="33">
        <f t="shared" si="5"/>
        <v>2.4125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0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19390+15360</f>
        <v>34750</v>
      </c>
      <c r="K29" s="34"/>
      <c r="L29" s="34" t="s">
        <v>16</v>
      </c>
      <c r="M29" s="115">
        <f t="shared" si="1"/>
        <v>31274</v>
      </c>
      <c r="N29" s="116">
        <f t="shared" si="4"/>
        <v>3476</v>
      </c>
      <c r="O29" s="117">
        <f>9357-J29</f>
        <v>-25393</v>
      </c>
      <c r="P29" s="118">
        <f>J29-IFERROR(VLOOKUP(A29,$R$26:$U$119,4,FALSE),0)+640</f>
        <v>31914</v>
      </c>
      <c r="Q29" s="33">
        <f t="shared" si="5"/>
        <v>434.375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1.7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7018</v>
      </c>
      <c r="K31" s="34"/>
      <c r="L31" s="34" t="s">
        <v>16</v>
      </c>
      <c r="M31" s="115">
        <f t="shared" si="1"/>
        <v>7017</v>
      </c>
      <c r="N31" s="116">
        <f t="shared" si="4"/>
        <v>1</v>
      </c>
      <c r="O31" s="117">
        <f>525-J31</f>
        <v>-6493</v>
      </c>
      <c r="P31" s="118">
        <f>J31-IFERROR(VLOOKUP(A31,$R$26:$U$119,4,FALSE),0)+0</f>
        <v>7017</v>
      </c>
      <c r="Q31" s="33">
        <f t="shared" si="5"/>
        <v>87.725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14.6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29174</v>
      </c>
      <c r="K33" s="32"/>
      <c r="L33" s="32" t="s">
        <v>31</v>
      </c>
      <c r="M33" s="115">
        <f t="shared" si="1"/>
        <v>29174</v>
      </c>
      <c r="N33" s="116">
        <f>+IFERROR(VLOOKUP(A33,$R$24:$U$119,4,FALSE),0)-0</f>
        <v>0</v>
      </c>
      <c r="O33" s="117">
        <f>0-J33</f>
        <v>-29174</v>
      </c>
      <c r="P33" s="118">
        <f>J33-IFERROR(VLOOKUP(A33,$R$24:$U$119,4,FALSE),0)+0</f>
        <v>29174</v>
      </c>
      <c r="Q33" s="33">
        <f t="shared" si="5"/>
        <v>364.675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6.1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6163</v>
      </c>
      <c r="K34" s="32"/>
      <c r="L34" s="32" t="s">
        <v>31</v>
      </c>
      <c r="M34" s="115">
        <f t="shared" si="1"/>
        <v>-44767</v>
      </c>
      <c r="N34" s="116">
        <f>+IFERROR(VLOOKUP(A34,$R$24:$U$119,4,FALSE),0)-0</f>
        <v>50930</v>
      </c>
      <c r="O34" s="117">
        <f>0-J34</f>
        <v>-6163</v>
      </c>
      <c r="P34" s="118">
        <f>J34-IFERROR(VLOOKUP(A34,$R$24:$U$119,4,FALSE),0)+0</f>
        <v>-44767</v>
      </c>
      <c r="Q34" s="33">
        <f t="shared" si="5"/>
        <v>77.0375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12.8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f>15160+19344</f>
        <v>34504</v>
      </c>
      <c r="K35" s="45"/>
      <c r="L35" s="45" t="s">
        <v>31</v>
      </c>
      <c r="M35" s="124">
        <f t="shared" si="1"/>
        <v>6194</v>
      </c>
      <c r="N35" s="125">
        <f t="shared" ref="N35:N48" si="7">+IFERROR(VLOOKUP(A35,$R$26:$U$119,4,FALSE),0)-0</f>
        <v>28310</v>
      </c>
      <c r="O35" s="126">
        <f>132941-J35</f>
        <v>98437</v>
      </c>
      <c r="P35" s="127">
        <f>J35-IFERROR(VLOOKUP(A35,$R$26:$U$119,4,FALSE),0)+3198</f>
        <v>9392</v>
      </c>
      <c r="Q35" s="23">
        <f t="shared" si="5"/>
        <v>442.35897435897436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3.7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1219-1</f>
        <v>1218</v>
      </c>
      <c r="K36" s="34"/>
      <c r="L36" s="34" t="s">
        <v>31</v>
      </c>
      <c r="M36" s="115">
        <f t="shared" si="1"/>
        <v>-16333</v>
      </c>
      <c r="N36" s="116">
        <f t="shared" si="7"/>
        <v>17551</v>
      </c>
      <c r="O36" s="117">
        <f>51894-J36</f>
        <v>50676</v>
      </c>
      <c r="P36" s="118">
        <f>J36-IFERROR(VLOOKUP(A36,$R$26:$U$119,4,FALSE),0)+2106</f>
        <v>-14227</v>
      </c>
      <c r="Q36" s="33">
        <f t="shared" si="5"/>
        <v>15.615384615384615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1.1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7">
        <f>16911+1</f>
        <v>16912</v>
      </c>
      <c r="K37" s="34"/>
      <c r="L37" s="34" t="s">
        <v>31</v>
      </c>
      <c r="M37" s="115">
        <f t="shared" si="1"/>
        <v>9067</v>
      </c>
      <c r="N37" s="116">
        <f t="shared" si="7"/>
        <v>7845</v>
      </c>
      <c r="O37" s="118">
        <f>17462-J37</f>
        <v>550</v>
      </c>
      <c r="P37" s="118">
        <f>J37-IFERROR(VLOOKUP(A37,$R$26:$U$119,4,FALSE),0)+2496</f>
        <v>11563</v>
      </c>
      <c r="Q37" s="33">
        <f t="shared" si="5"/>
        <v>216.82051282051282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4.4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0+1</f>
        <v>1</v>
      </c>
      <c r="K38" s="34"/>
      <c r="L38" s="34" t="s">
        <v>31</v>
      </c>
      <c r="M38" s="115">
        <f t="shared" si="1"/>
        <v>-23278</v>
      </c>
      <c r="N38" s="116">
        <f t="shared" si="7"/>
        <v>23279</v>
      </c>
      <c r="O38" s="117">
        <f>39597-J38</f>
        <v>39596</v>
      </c>
      <c r="P38" s="118">
        <f>J38-IFERROR(VLOOKUP(A38,$R$26:$U$119,4,FALSE),0)+2652</f>
        <v>-20626</v>
      </c>
      <c r="Q38" s="33">
        <f t="shared" si="5"/>
        <v>0.01282051282051282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0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13158</v>
      </c>
      <c r="K40" s="34"/>
      <c r="L40" s="32" t="s">
        <v>31</v>
      </c>
      <c r="M40" s="115">
        <f>+J40-N40</f>
        <v>13158</v>
      </c>
      <c r="N40" s="116">
        <f t="shared" si="7"/>
        <v>0</v>
      </c>
      <c r="O40" s="117">
        <f>50966-J40</f>
        <v>37808</v>
      </c>
      <c r="P40" s="118">
        <f>J40-IFERROR(VLOOKUP(A40,$R$26:$U$119,4,FALSE),0)+702</f>
        <v>13860</v>
      </c>
      <c r="Q40" s="33">
        <f t="shared" si="5"/>
        <v>168.69230769230768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24.1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4</v>
      </c>
      <c r="K43" s="34"/>
      <c r="L43" s="32" t="s">
        <v>31</v>
      </c>
      <c r="M43" s="115">
        <f>+J43-N43</f>
        <v>4</v>
      </c>
      <c r="N43" s="116">
        <f t="shared" si="7"/>
        <v>0</v>
      </c>
      <c r="O43" s="117">
        <f>50966-J43</f>
        <v>50962</v>
      </c>
      <c r="P43" s="118">
        <f>J43-IFERROR(VLOOKUP(A43,$R$26:$U$119,4,FALSE),0)+702</f>
        <v>706</v>
      </c>
      <c r="Q43" s="33">
        <f t="shared" si="5"/>
        <v>0.05128205128205128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0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40">
        <f>9719-2+13440</f>
        <v>23157</v>
      </c>
      <c r="K44" s="44"/>
      <c r="L44" s="44" t="s">
        <v>31</v>
      </c>
      <c r="M44" s="124">
        <f t="shared" si="1"/>
        <v>-24638</v>
      </c>
      <c r="N44" s="125">
        <f t="shared" si="7"/>
        <v>47795</v>
      </c>
      <c r="O44" s="126">
        <f>53358-J44</f>
        <v>30201</v>
      </c>
      <c r="P44" s="127">
        <f>J44-IFERROR(VLOOKUP(A44,$R$26:$U$119,4,FALSE),0)+5280</f>
        <v>-19358</v>
      </c>
      <c r="Q44" s="23">
        <f t="shared" si="5"/>
        <v>144.73125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3.1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40">
        <f>5534-1</f>
        <v>5533</v>
      </c>
      <c r="K45" s="32"/>
      <c r="L45" s="32" t="s">
        <v>31</v>
      </c>
      <c r="M45" s="115">
        <f t="shared" si="1"/>
        <v>-5570</v>
      </c>
      <c r="N45" s="116">
        <f t="shared" si="7"/>
        <v>11103</v>
      </c>
      <c r="O45" s="117">
        <f>20108-J45</f>
        <v>14575</v>
      </c>
      <c r="P45" s="118">
        <f>J45-IFERROR(VLOOKUP(A45,$R$26:$U$119,4,FALSE),0)+960</f>
        <v>-4610</v>
      </c>
      <c r="Q45" s="33">
        <f t="shared" si="5"/>
        <v>34.58125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5.8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7">
        <f>16454+1</f>
        <v>16455</v>
      </c>
      <c r="K46" s="32"/>
      <c r="L46" s="32" t="s">
        <v>31</v>
      </c>
      <c r="M46" s="115">
        <f t="shared" si="1"/>
        <v>13493</v>
      </c>
      <c r="N46" s="116">
        <f t="shared" si="7"/>
        <v>2962</v>
      </c>
      <c r="O46" s="117">
        <f>6244-J46</f>
        <v>-10211</v>
      </c>
      <c r="P46" s="118">
        <f>J46-IFERROR(VLOOKUP(A46,$R$26:$U$119,4,FALSE),0)+1760</f>
        <v>15253</v>
      </c>
      <c r="Q46" s="33">
        <f t="shared" si="5"/>
        <v>102.84375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5.1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7">
        <f>9958+1</f>
        <v>9959</v>
      </c>
      <c r="K48" s="32"/>
      <c r="L48" s="49" t="s">
        <v>31</v>
      </c>
      <c r="M48" s="115">
        <f t="shared" si="1"/>
        <v>9953</v>
      </c>
      <c r="N48" s="116">
        <f t="shared" si="7"/>
        <v>6</v>
      </c>
      <c r="O48" s="117">
        <f>30490-J48</f>
        <v>20531</v>
      </c>
      <c r="P48" s="118">
        <f>J48-IFERROR(VLOOKUP(A48,$R$26:$U$119,4,FALSE),0)+2880+0</f>
        <v>12833</v>
      </c>
      <c r="Q48" s="33">
        <f t="shared" si="5"/>
        <v>62.24375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3.1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7543</v>
      </c>
      <c r="K52" s="32"/>
      <c r="L52" s="32" t="s">
        <v>31</v>
      </c>
      <c r="M52" s="115"/>
      <c r="N52" s="116"/>
      <c r="O52" s="117"/>
      <c r="P52" s="118"/>
      <c r="Q52" s="33">
        <f t="shared" si="5"/>
        <v>47.14375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11.8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f>10514+10050</f>
        <v>20564</v>
      </c>
      <c r="K63" s="53"/>
      <c r="L63" s="45" t="s">
        <v>16</v>
      </c>
      <c r="M63" s="124">
        <f t="shared" si="1"/>
        <v>-20066</v>
      </c>
      <c r="N63" s="125">
        <f t="shared" si="8"/>
        <v>40630</v>
      </c>
      <c r="O63" s="126">
        <f t="shared" ref="O63:O69" si="10">52606-J63</f>
        <v>32042</v>
      </c>
      <c r="P63" s="127">
        <f t="shared" ref="P63:P69" si="11">J63-IFERROR(VLOOKUP(A63,$R$26:$U$119,4,FALSE),0)+6150</f>
        <v>-13916</v>
      </c>
      <c r="Q63" s="23">
        <f t="shared" si="5"/>
        <v>411.28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3.8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26444</v>
      </c>
      <c r="K64" s="58"/>
      <c r="L64" s="34" t="s">
        <v>16</v>
      </c>
      <c r="M64" s="115">
        <f t="shared" si="1"/>
        <v>26444</v>
      </c>
      <c r="N64" s="116">
        <f t="shared" si="8"/>
        <v>0</v>
      </c>
      <c r="O64" s="117">
        <f t="shared" si="10"/>
        <v>26162</v>
      </c>
      <c r="P64" s="118">
        <f t="shared" si="11"/>
        <v>32594</v>
      </c>
      <c r="Q64" s="33">
        <f t="shared" si="5"/>
        <v>528.88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4.1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7260</v>
      </c>
      <c r="K68" s="58"/>
      <c r="L68" s="34" t="s">
        <v>16</v>
      </c>
      <c r="M68" s="115">
        <f t="shared" si="1"/>
        <v>7260</v>
      </c>
      <c r="N68" s="116">
        <f t="shared" si="8"/>
        <v>0</v>
      </c>
      <c r="O68" s="117">
        <f t="shared" si="10"/>
        <v>45346</v>
      </c>
      <c r="P68" s="118">
        <f t="shared" si="11"/>
        <v>13410</v>
      </c>
      <c r="Q68" s="33">
        <f t="shared" si="5"/>
        <v>145.2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3.2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10833</v>
      </c>
      <c r="K69" s="58"/>
      <c r="L69" s="34" t="s">
        <v>16</v>
      </c>
      <c r="M69" s="115">
        <f t="shared" si="1"/>
        <v>10833</v>
      </c>
      <c r="N69" s="116">
        <f t="shared" si="8"/>
        <v>0</v>
      </c>
      <c r="O69" s="117">
        <f t="shared" si="10"/>
        <v>41773</v>
      </c>
      <c r="P69" s="118">
        <f t="shared" si="11"/>
        <v>16983</v>
      </c>
      <c r="Q69" s="33">
        <f t="shared" si="5"/>
        <v>216.66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2.7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37">
        <f>24386+2</f>
        <v>24388</v>
      </c>
      <c r="K74" s="53"/>
      <c r="L74" s="45" t="s">
        <v>31</v>
      </c>
      <c r="M74" s="124">
        <f t="shared" si="1"/>
        <v>24388</v>
      </c>
      <c r="N74" s="125">
        <f t="shared" si="8"/>
        <v>0</v>
      </c>
      <c r="O74" s="126"/>
      <c r="P74" s="127">
        <f t="shared" si="12"/>
        <v>24388</v>
      </c>
      <c r="Q74" s="23">
        <f t="shared" si="5"/>
        <v>152.425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10.2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34773-1</f>
        <v>34772</v>
      </c>
      <c r="K75" s="58"/>
      <c r="L75" s="34" t="s">
        <v>31</v>
      </c>
      <c r="M75" s="115">
        <f t="shared" si="1"/>
        <v>34772</v>
      </c>
      <c r="N75" s="116">
        <f t="shared" si="8"/>
        <v>0</v>
      </c>
      <c r="O75" s="117"/>
      <c r="P75" s="118">
        <f t="shared" si="12"/>
        <v>34772</v>
      </c>
      <c r="Q75" s="33">
        <f t="shared" si="5"/>
        <v>217.325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9.1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40">
        <f>18290-2-1</f>
        <v>18287</v>
      </c>
      <c r="K76" s="58"/>
      <c r="L76" s="34" t="s">
        <v>31</v>
      </c>
      <c r="M76" s="115">
        <f t="shared" si="1"/>
        <v>18287</v>
      </c>
      <c r="N76" s="116">
        <f t="shared" si="8"/>
        <v>0</v>
      </c>
      <c r="O76" s="117"/>
      <c r="P76" s="118">
        <f t="shared" si="12"/>
        <v>18287</v>
      </c>
      <c r="Q76" s="33">
        <f t="shared" si="5"/>
        <v>114.29375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5.4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39687</v>
      </c>
      <c r="K77" s="58"/>
      <c r="L77" s="34" t="s">
        <v>31</v>
      </c>
      <c r="M77" s="115">
        <f t="shared" si="1"/>
        <v>39687</v>
      </c>
      <c r="N77" s="116">
        <f t="shared" si="8"/>
        <v>0</v>
      </c>
      <c r="O77" s="117"/>
      <c r="P77" s="118">
        <f t="shared" si="12"/>
        <v>39687</v>
      </c>
      <c r="Q77" s="33">
        <f t="shared" si="5"/>
        <v>248.04375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16.5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81</v>
      </c>
      <c r="K80" s="58"/>
      <c r="L80" s="34" t="s">
        <v>31</v>
      </c>
      <c r="M80" s="115">
        <f t="shared" si="13"/>
        <v>81</v>
      </c>
      <c r="N80" s="116">
        <f t="shared" si="8"/>
        <v>0</v>
      </c>
      <c r="O80" s="117"/>
      <c r="P80" s="118">
        <f t="shared" si="12"/>
        <v>81</v>
      </c>
      <c r="Q80" s="33">
        <f t="shared" si="5"/>
        <v>0.50625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4608</v>
      </c>
      <c r="K82" s="62"/>
      <c r="L82" s="64" t="s">
        <v>16</v>
      </c>
      <c r="M82" s="115">
        <f t="shared" si="13"/>
        <v>4608</v>
      </c>
      <c r="N82" s="116">
        <f t="shared" si="8"/>
        <v>0</v>
      </c>
      <c r="O82" s="117"/>
      <c r="P82" s="118">
        <f t="shared" si="12"/>
        <v>4608</v>
      </c>
      <c r="Q82" s="33">
        <f t="shared" si="5"/>
        <v>54.857142857142854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13752</v>
      </c>
      <c r="K83" s="62"/>
      <c r="L83" s="64" t="s">
        <v>16</v>
      </c>
      <c r="M83" s="115"/>
      <c r="N83" s="116"/>
      <c r="O83" s="117"/>
      <c r="P83" s="118"/>
      <c r="Q83" s="33">
        <f t="shared" si="5"/>
        <v>275.04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19.6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32957</v>
      </c>
      <c r="K84" s="62"/>
      <c r="L84" s="64" t="s">
        <v>16</v>
      </c>
      <c r="M84" s="115"/>
      <c r="N84" s="116"/>
      <c r="O84" s="117"/>
      <c r="P84" s="118"/>
      <c r="Q84" s="33">
        <f t="shared" si="5"/>
        <v>242.3308823529412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9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12126</v>
      </c>
      <c r="K88" s="69"/>
      <c r="L88" s="70" t="s">
        <v>16</v>
      </c>
      <c r="M88" s="161"/>
      <c r="N88" s="162"/>
      <c r="O88" s="118"/>
      <c r="P88" s="118"/>
      <c r="Q88" s="48">
        <f t="shared" si="5"/>
        <v>75.7875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37.9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3226</v>
      </c>
      <c r="K89" s="69"/>
      <c r="L89" s="70" t="s">
        <v>16</v>
      </c>
      <c r="M89" s="161"/>
      <c r="N89" s="162"/>
      <c r="O89" s="118"/>
      <c r="P89" s="118"/>
      <c r="Q89" s="48">
        <f>+J89/H89</f>
        <v>20.1625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661609</v>
      </c>
      <c r="K94" s="82"/>
      <c r="L94" s="82"/>
      <c r="M94" s="176">
        <f>SUM(M14:M93)</f>
        <v>334698</v>
      </c>
      <c r="N94" s="82"/>
      <c r="O94" s="177">
        <f>SUM(O14:O93)</f>
        <v>581453</v>
      </c>
      <c r="P94" s="178">
        <f>SUM(P14:P93)</f>
        <v>432670</v>
      </c>
      <c r="Q94" s="84">
        <f>SUM(Q24:Q93)</f>
        <v>7490.137127774186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2026-10-13T11:55:32Z</dcterms:modified>
</cp:coreProperties>
</file>